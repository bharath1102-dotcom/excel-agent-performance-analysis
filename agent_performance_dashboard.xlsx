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3E840177-1AEC-476F-8742-A734ABB7249A}" xr6:coauthVersionLast="47" xr6:coauthVersionMax="47" xr10:uidLastSave="{00000000-0000-0000-0000-000000000000}"/>
  <bookViews>
    <workbookView xWindow="-108" yWindow="-108" windowWidth="23256" windowHeight="12456" firstSheet="3" activeTab="5" xr2:uid="{3A8A0711-46F9-4005-B6F2-9349CD0CF692}"/>
  </bookViews>
  <sheets>
    <sheet name="Raw_Data" sheetId="1" r:id="rId1"/>
    <sheet name="Pivot_Backend" sheetId="2" r:id="rId2"/>
    <sheet name="SLA_Analysis_Dashboard_Source" sheetId="3" r:id="rId3"/>
    <sheet name="Agent_KPI" sheetId="6" r:id="rId4"/>
    <sheet name="SLA_Breach_Analysis_Dashboard" sheetId="4" r:id="rId5"/>
    <sheet name="Agent_Performance_Dashboard" sheetId="7" r:id="rId6"/>
  </sheets>
  <definedNames>
    <definedName name="Slicer_Agent_Name">#N/A</definedName>
    <definedName name="Slicer_Channel">#N/A</definedName>
    <definedName name="Slicer_Performance_Bucket">#N/A</definedName>
    <definedName name="Slicer_Priority">#N/A</definedName>
    <definedName name="Slicer_Process">#N/A</definedName>
    <definedName name="Slicer_Process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6" l="1"/>
  <c r="B7" i="6"/>
  <c r="B5" i="6"/>
  <c r="B3" i="6"/>
  <c r="B2" i="6"/>
  <c r="B6" i="6"/>
  <c r="G4" i="6"/>
  <c r="J4" i="6" s="1"/>
  <c r="G7" i="6"/>
  <c r="J7" i="6" s="1"/>
  <c r="G5" i="6"/>
  <c r="J5" i="6" s="1"/>
  <c r="G3" i="6"/>
  <c r="J3" i="6" s="1"/>
  <c r="G2" i="6"/>
  <c r="J2" i="6" s="1"/>
  <c r="G6" i="6"/>
  <c r="J6" i="6" s="1"/>
  <c r="F4" i="6"/>
  <c r="F7" i="6"/>
  <c r="F5" i="6"/>
  <c r="F3" i="6"/>
  <c r="F2" i="6"/>
  <c r="F6" i="6"/>
  <c r="E4" i="6"/>
  <c r="E7" i="6"/>
  <c r="E5" i="6"/>
  <c r="E3" i="6"/>
  <c r="E2" i="6"/>
  <c r="E6" i="6"/>
  <c r="D4" i="6"/>
  <c r="D7" i="6"/>
  <c r="D5" i="6"/>
  <c r="D3" i="6"/>
  <c r="D2" i="6"/>
  <c r="D6" i="6"/>
  <c r="C4" i="6"/>
  <c r="H4" i="6" s="1"/>
  <c r="L4" i="6" s="1"/>
  <c r="C7" i="6"/>
  <c r="H7" i="6" s="1"/>
  <c r="L7" i="6" s="1"/>
  <c r="C5" i="6"/>
  <c r="H5" i="6" s="1"/>
  <c r="L5" i="6" s="1"/>
  <c r="C3" i="6"/>
  <c r="H3" i="6" s="1"/>
  <c r="L3" i="6" s="1"/>
  <c r="C2" i="6"/>
  <c r="H2" i="6" s="1"/>
  <c r="L2" i="6" s="1"/>
  <c r="C6" i="6"/>
  <c r="H6" i="6" s="1"/>
  <c r="L6" i="6" s="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N2" i="1"/>
  <c r="O2" i="1" s="1"/>
  <c r="P2" i="1" s="1"/>
  <c r="N3" i="1"/>
  <c r="O3" i="1" s="1"/>
  <c r="P3" i="1" s="1"/>
  <c r="N4" i="1"/>
  <c r="O4" i="1" s="1"/>
  <c r="P4" i="1" s="1"/>
  <c r="N5" i="1"/>
  <c r="O5" i="1" s="1"/>
  <c r="P5" i="1" s="1"/>
  <c r="N6" i="1"/>
  <c r="O6" i="1" s="1"/>
  <c r="P6" i="1" s="1"/>
  <c r="N7" i="1"/>
  <c r="O7" i="1" s="1"/>
  <c r="P7" i="1" s="1"/>
  <c r="N8" i="1"/>
  <c r="O8" i="1" s="1"/>
  <c r="P8" i="1" s="1"/>
  <c r="N9" i="1"/>
  <c r="O9" i="1" s="1"/>
  <c r="P9" i="1" s="1"/>
  <c r="N10" i="1"/>
  <c r="O10" i="1" s="1"/>
  <c r="P10" i="1" s="1"/>
  <c r="N11" i="1"/>
  <c r="O11" i="1" s="1"/>
  <c r="P11" i="1" s="1"/>
  <c r="N12" i="1"/>
  <c r="O12" i="1" s="1"/>
  <c r="P12" i="1" s="1"/>
  <c r="N13" i="1"/>
  <c r="O13" i="1" s="1"/>
  <c r="P13" i="1" s="1"/>
  <c r="N14" i="1"/>
  <c r="O14" i="1" s="1"/>
  <c r="P14" i="1" s="1"/>
  <c r="N15" i="1"/>
  <c r="O15" i="1" s="1"/>
  <c r="P15" i="1" s="1"/>
  <c r="N16" i="1"/>
  <c r="O16" i="1" s="1"/>
  <c r="P16" i="1" s="1"/>
  <c r="N17" i="1"/>
  <c r="O17" i="1" s="1"/>
  <c r="P17" i="1" s="1"/>
  <c r="N18" i="1"/>
  <c r="O18" i="1" s="1"/>
  <c r="P18" i="1" s="1"/>
  <c r="N19" i="1"/>
  <c r="O19" i="1" s="1"/>
  <c r="P19" i="1" s="1"/>
  <c r="N20" i="1"/>
  <c r="O20" i="1" s="1"/>
  <c r="P20" i="1" s="1"/>
  <c r="N21" i="1"/>
  <c r="O21" i="1" s="1"/>
  <c r="P21" i="1" s="1"/>
  <c r="N22" i="1"/>
  <c r="O22" i="1" s="1"/>
  <c r="P22" i="1" s="1"/>
  <c r="N23" i="1"/>
  <c r="O23" i="1" s="1"/>
  <c r="P23" i="1" s="1"/>
  <c r="N24" i="1"/>
  <c r="O24" i="1" s="1"/>
  <c r="P24" i="1" s="1"/>
  <c r="N25" i="1"/>
  <c r="O25" i="1" s="1"/>
  <c r="P25" i="1" s="1"/>
  <c r="N26" i="1"/>
  <c r="O26" i="1" s="1"/>
  <c r="P26" i="1" s="1"/>
  <c r="N27" i="1"/>
  <c r="O27" i="1" s="1"/>
  <c r="P27" i="1" s="1"/>
  <c r="N28" i="1"/>
  <c r="O28" i="1" s="1"/>
  <c r="P28" i="1" s="1"/>
  <c r="N29" i="1"/>
  <c r="O29" i="1" s="1"/>
  <c r="P29" i="1" s="1"/>
  <c r="N30" i="1"/>
  <c r="O30" i="1" s="1"/>
  <c r="P30" i="1" s="1"/>
  <c r="N31" i="1"/>
  <c r="O31" i="1" s="1"/>
  <c r="P31" i="1" s="1"/>
  <c r="N32" i="1"/>
  <c r="O32" i="1" s="1"/>
  <c r="P32" i="1" s="1"/>
  <c r="N33" i="1"/>
  <c r="O33" i="1" s="1"/>
  <c r="P33" i="1" s="1"/>
  <c r="N34" i="1"/>
  <c r="O34" i="1" s="1"/>
  <c r="P34" i="1" s="1"/>
  <c r="N35" i="1"/>
  <c r="O35" i="1" s="1"/>
  <c r="P35" i="1" s="1"/>
  <c r="N36" i="1"/>
  <c r="O36" i="1" s="1"/>
  <c r="P36" i="1" s="1"/>
  <c r="N37" i="1"/>
  <c r="O37" i="1" s="1"/>
  <c r="P37" i="1" s="1"/>
  <c r="N38" i="1"/>
  <c r="O38" i="1" s="1"/>
  <c r="P38" i="1" s="1"/>
  <c r="N39" i="1"/>
  <c r="O39" i="1" s="1"/>
  <c r="P39" i="1" s="1"/>
  <c r="N40" i="1"/>
  <c r="O40" i="1" s="1"/>
  <c r="P40" i="1" s="1"/>
  <c r="N41" i="1"/>
  <c r="O41" i="1" s="1"/>
  <c r="P41" i="1" s="1"/>
  <c r="N42" i="1"/>
  <c r="O42" i="1" s="1"/>
  <c r="P42" i="1" s="1"/>
  <c r="N43" i="1"/>
  <c r="O43" i="1" s="1"/>
  <c r="P43" i="1" s="1"/>
  <c r="N44" i="1"/>
  <c r="O44" i="1" s="1"/>
  <c r="P44" i="1" s="1"/>
  <c r="N45" i="1"/>
  <c r="O45" i="1" s="1"/>
  <c r="P45" i="1" s="1"/>
  <c r="N46" i="1"/>
  <c r="O46" i="1" s="1"/>
  <c r="P46" i="1" s="1"/>
  <c r="N47" i="1"/>
  <c r="O47" i="1" s="1"/>
  <c r="P47" i="1" s="1"/>
  <c r="N48" i="1"/>
  <c r="O48" i="1" s="1"/>
  <c r="P48" i="1" s="1"/>
  <c r="N49" i="1"/>
  <c r="O49" i="1" s="1"/>
  <c r="P49" i="1" s="1"/>
  <c r="N50" i="1"/>
  <c r="O50" i="1" s="1"/>
  <c r="P50" i="1" s="1"/>
  <c r="N51" i="1"/>
  <c r="O51" i="1" s="1"/>
  <c r="P51" i="1" s="1"/>
  <c r="N52" i="1"/>
  <c r="O52" i="1" s="1"/>
  <c r="P52" i="1" s="1"/>
  <c r="N53" i="1"/>
  <c r="O53" i="1" s="1"/>
  <c r="P53" i="1" s="1"/>
  <c r="N54" i="1"/>
  <c r="O54" i="1" s="1"/>
  <c r="P54" i="1" s="1"/>
  <c r="N55" i="1"/>
  <c r="O55" i="1" s="1"/>
  <c r="P55" i="1" s="1"/>
  <c r="N56" i="1"/>
  <c r="O56" i="1" s="1"/>
  <c r="P56" i="1" s="1"/>
  <c r="N57" i="1"/>
  <c r="O57" i="1" s="1"/>
  <c r="P57" i="1" s="1"/>
  <c r="N58" i="1"/>
  <c r="O58" i="1" s="1"/>
  <c r="P58" i="1" s="1"/>
  <c r="N59" i="1"/>
  <c r="O59" i="1" s="1"/>
  <c r="P59" i="1" s="1"/>
  <c r="N60" i="1"/>
  <c r="O60" i="1" s="1"/>
  <c r="P60" i="1" s="1"/>
  <c r="N61" i="1"/>
  <c r="O61" i="1" s="1"/>
  <c r="P61" i="1" s="1"/>
  <c r="N62" i="1"/>
  <c r="O62" i="1" s="1"/>
  <c r="P62" i="1" s="1"/>
  <c r="N63" i="1"/>
  <c r="O63" i="1" s="1"/>
  <c r="P63" i="1" s="1"/>
  <c r="N64" i="1"/>
  <c r="O64" i="1" s="1"/>
  <c r="P64" i="1" s="1"/>
  <c r="N65" i="1"/>
  <c r="O65" i="1" s="1"/>
  <c r="P65" i="1" s="1"/>
  <c r="N66" i="1"/>
  <c r="O66" i="1" s="1"/>
  <c r="P66" i="1" s="1"/>
  <c r="N67" i="1"/>
  <c r="O67" i="1" s="1"/>
  <c r="P67" i="1" s="1"/>
  <c r="N68" i="1"/>
  <c r="O68" i="1" s="1"/>
  <c r="P68" i="1" s="1"/>
  <c r="N69" i="1"/>
  <c r="O69" i="1" s="1"/>
  <c r="P69" i="1" s="1"/>
  <c r="N70" i="1"/>
  <c r="O70" i="1" s="1"/>
  <c r="P70" i="1" s="1"/>
  <c r="N71" i="1"/>
  <c r="O71" i="1" s="1"/>
  <c r="P71" i="1" s="1"/>
  <c r="N72" i="1"/>
  <c r="O72" i="1" s="1"/>
  <c r="P72" i="1" s="1"/>
  <c r="N73" i="1"/>
  <c r="O73" i="1" s="1"/>
  <c r="P73" i="1" s="1"/>
  <c r="N74" i="1"/>
  <c r="O74" i="1" s="1"/>
  <c r="P74" i="1" s="1"/>
  <c r="N75" i="1"/>
  <c r="O75" i="1" s="1"/>
  <c r="P75" i="1" s="1"/>
  <c r="N76" i="1"/>
  <c r="O76" i="1" s="1"/>
  <c r="P76" i="1" s="1"/>
  <c r="N77" i="1"/>
  <c r="O77" i="1" s="1"/>
  <c r="P77" i="1" s="1"/>
  <c r="N78" i="1"/>
  <c r="O78" i="1" s="1"/>
  <c r="P78" i="1" s="1"/>
  <c r="N79" i="1"/>
  <c r="O79" i="1" s="1"/>
  <c r="P79" i="1" s="1"/>
  <c r="N80" i="1"/>
  <c r="O80" i="1" s="1"/>
  <c r="P80" i="1" s="1"/>
  <c r="N81" i="1"/>
  <c r="O81" i="1" s="1"/>
  <c r="P81" i="1" s="1"/>
  <c r="N82" i="1"/>
  <c r="O82" i="1" s="1"/>
  <c r="P82" i="1" s="1"/>
  <c r="N83" i="1"/>
  <c r="O83" i="1" s="1"/>
  <c r="P83" i="1" s="1"/>
  <c r="N84" i="1"/>
  <c r="O84" i="1" s="1"/>
  <c r="P84" i="1" s="1"/>
  <c r="N85" i="1"/>
  <c r="O85" i="1" s="1"/>
  <c r="P85" i="1" s="1"/>
  <c r="N86" i="1"/>
  <c r="O86" i="1" s="1"/>
  <c r="P86" i="1" s="1"/>
  <c r="N87" i="1"/>
  <c r="O87" i="1" s="1"/>
  <c r="P87" i="1" s="1"/>
  <c r="N88" i="1"/>
  <c r="O88" i="1" s="1"/>
  <c r="P88" i="1" s="1"/>
  <c r="N89" i="1"/>
  <c r="O89" i="1" s="1"/>
  <c r="P89" i="1" s="1"/>
  <c r="N90" i="1"/>
  <c r="O90" i="1" s="1"/>
  <c r="P90" i="1" s="1"/>
  <c r="N91" i="1"/>
  <c r="O91" i="1" s="1"/>
  <c r="P91" i="1" s="1"/>
  <c r="N92" i="1"/>
  <c r="O92" i="1" s="1"/>
  <c r="P92" i="1" s="1"/>
  <c r="N93" i="1"/>
  <c r="O93" i="1" s="1"/>
  <c r="P93" i="1" s="1"/>
  <c r="N94" i="1"/>
  <c r="O94" i="1" s="1"/>
  <c r="P94" i="1" s="1"/>
  <c r="N95" i="1"/>
  <c r="O95" i="1" s="1"/>
  <c r="P95" i="1" s="1"/>
  <c r="N96" i="1"/>
  <c r="O96" i="1" s="1"/>
  <c r="P96" i="1" s="1"/>
  <c r="N97" i="1"/>
  <c r="O97" i="1" s="1"/>
  <c r="P97" i="1" s="1"/>
  <c r="N98" i="1"/>
  <c r="O98" i="1" s="1"/>
  <c r="P98" i="1" s="1"/>
  <c r="N99" i="1"/>
  <c r="O99" i="1" s="1"/>
  <c r="P99" i="1" s="1"/>
  <c r="N100" i="1"/>
  <c r="O100" i="1" s="1"/>
  <c r="P100" i="1" s="1"/>
  <c r="N101" i="1"/>
  <c r="O101" i="1" s="1"/>
  <c r="P101" i="1" s="1"/>
  <c r="N102" i="1"/>
  <c r="O102" i="1" s="1"/>
  <c r="P102" i="1" s="1"/>
  <c r="N103" i="1"/>
  <c r="O103" i="1" s="1"/>
  <c r="P103" i="1" s="1"/>
  <c r="N104" i="1"/>
  <c r="O104" i="1" s="1"/>
  <c r="P104" i="1" s="1"/>
  <c r="N105" i="1"/>
  <c r="O105" i="1" s="1"/>
  <c r="P105" i="1" s="1"/>
  <c r="N106" i="1"/>
  <c r="O106" i="1" s="1"/>
  <c r="P106" i="1" s="1"/>
  <c r="N107" i="1"/>
  <c r="O107" i="1" s="1"/>
  <c r="P107" i="1" s="1"/>
  <c r="N108" i="1"/>
  <c r="O108" i="1" s="1"/>
  <c r="P108" i="1" s="1"/>
  <c r="N109" i="1"/>
  <c r="O109" i="1" s="1"/>
  <c r="P109" i="1" s="1"/>
  <c r="N110" i="1"/>
  <c r="O110" i="1" s="1"/>
  <c r="P110" i="1" s="1"/>
  <c r="N111" i="1"/>
  <c r="O111" i="1" s="1"/>
  <c r="P111" i="1" s="1"/>
  <c r="N112" i="1"/>
  <c r="O112" i="1" s="1"/>
  <c r="P112" i="1" s="1"/>
  <c r="N113" i="1"/>
  <c r="O113" i="1" s="1"/>
  <c r="P113" i="1" s="1"/>
  <c r="N114" i="1"/>
  <c r="O114" i="1" s="1"/>
  <c r="P114" i="1" s="1"/>
  <c r="N115" i="1"/>
  <c r="O115" i="1" s="1"/>
  <c r="P115" i="1" s="1"/>
  <c r="N116" i="1"/>
  <c r="O116" i="1" s="1"/>
  <c r="P116" i="1" s="1"/>
  <c r="N117" i="1"/>
  <c r="O117" i="1" s="1"/>
  <c r="P117" i="1" s="1"/>
  <c r="N118" i="1"/>
  <c r="O118" i="1" s="1"/>
  <c r="P118" i="1" s="1"/>
  <c r="N119" i="1"/>
  <c r="O119" i="1" s="1"/>
  <c r="P119" i="1" s="1"/>
  <c r="N120" i="1"/>
  <c r="O120" i="1" s="1"/>
  <c r="P120" i="1" s="1"/>
  <c r="N121" i="1"/>
  <c r="O121" i="1" s="1"/>
  <c r="P121" i="1" s="1"/>
  <c r="N122" i="1"/>
  <c r="O122" i="1" s="1"/>
  <c r="P122" i="1" s="1"/>
  <c r="N123" i="1"/>
  <c r="O123" i="1" s="1"/>
  <c r="P123" i="1" s="1"/>
  <c r="N124" i="1"/>
  <c r="O124" i="1" s="1"/>
  <c r="P124" i="1" s="1"/>
  <c r="N125" i="1"/>
  <c r="O125" i="1" s="1"/>
  <c r="P125" i="1" s="1"/>
  <c r="N126" i="1"/>
  <c r="O126" i="1" s="1"/>
  <c r="P126" i="1" s="1"/>
  <c r="N127" i="1"/>
  <c r="O127" i="1" s="1"/>
  <c r="P127" i="1" s="1"/>
  <c r="N128" i="1"/>
  <c r="O128" i="1" s="1"/>
  <c r="P128" i="1" s="1"/>
  <c r="N129" i="1"/>
  <c r="O129" i="1" s="1"/>
  <c r="P129" i="1" s="1"/>
  <c r="N130" i="1"/>
  <c r="O130" i="1" s="1"/>
  <c r="P130" i="1" s="1"/>
  <c r="N131" i="1"/>
  <c r="O131" i="1" s="1"/>
  <c r="P131" i="1" s="1"/>
  <c r="N132" i="1"/>
  <c r="O132" i="1" s="1"/>
  <c r="P132" i="1" s="1"/>
  <c r="N133" i="1"/>
  <c r="O133" i="1" s="1"/>
  <c r="P133" i="1" s="1"/>
  <c r="N134" i="1"/>
  <c r="O134" i="1" s="1"/>
  <c r="P134" i="1" s="1"/>
  <c r="N135" i="1"/>
  <c r="O135" i="1" s="1"/>
  <c r="P135" i="1" s="1"/>
  <c r="N136" i="1"/>
  <c r="O136" i="1" s="1"/>
  <c r="P136" i="1" s="1"/>
  <c r="N137" i="1"/>
  <c r="O137" i="1" s="1"/>
  <c r="P137" i="1" s="1"/>
  <c r="N138" i="1"/>
  <c r="O138" i="1" s="1"/>
  <c r="P138" i="1" s="1"/>
  <c r="N139" i="1"/>
  <c r="O139" i="1" s="1"/>
  <c r="P139" i="1" s="1"/>
  <c r="N140" i="1"/>
  <c r="O140" i="1" s="1"/>
  <c r="P140" i="1" s="1"/>
  <c r="N141" i="1"/>
  <c r="O141" i="1" s="1"/>
  <c r="P141" i="1" s="1"/>
  <c r="N142" i="1"/>
  <c r="O142" i="1" s="1"/>
  <c r="P142" i="1" s="1"/>
  <c r="N143" i="1"/>
  <c r="O143" i="1" s="1"/>
  <c r="P143" i="1" s="1"/>
  <c r="N144" i="1"/>
  <c r="O144" i="1" s="1"/>
  <c r="P144" i="1" s="1"/>
  <c r="N145" i="1"/>
  <c r="O145" i="1" s="1"/>
  <c r="P145" i="1" s="1"/>
  <c r="N146" i="1"/>
  <c r="O146" i="1" s="1"/>
  <c r="P146" i="1" s="1"/>
  <c r="N147" i="1"/>
  <c r="O147" i="1" s="1"/>
  <c r="P147" i="1" s="1"/>
  <c r="N148" i="1"/>
  <c r="O148" i="1" s="1"/>
  <c r="P148" i="1" s="1"/>
  <c r="N149" i="1"/>
  <c r="O149" i="1" s="1"/>
  <c r="P149" i="1" s="1"/>
  <c r="N150" i="1"/>
  <c r="O150" i="1" s="1"/>
  <c r="P150" i="1" s="1"/>
  <c r="N151" i="1"/>
  <c r="O151" i="1" s="1"/>
  <c r="P151" i="1" s="1"/>
  <c r="D2" i="3"/>
  <c r="A2" i="3"/>
  <c r="G4" i="2"/>
  <c r="C2" i="3"/>
  <c r="F4" i="2"/>
  <c r="I6" i="6" l="1"/>
  <c r="I2" i="6"/>
  <c r="I3" i="6"/>
  <c r="I5" i="6"/>
  <c r="I7" i="6"/>
  <c r="I4" i="6"/>
  <c r="K6" i="6"/>
  <c r="K2" i="6"/>
  <c r="K3" i="6"/>
  <c r="K5" i="6"/>
  <c r="K7" i="6"/>
  <c r="K4" i="6"/>
  <c r="T72" i="1"/>
  <c r="U145" i="1"/>
  <c r="U133" i="1"/>
  <c r="U121" i="1"/>
  <c r="U109" i="1"/>
  <c r="U97" i="1"/>
  <c r="U85" i="1"/>
  <c r="U73" i="1"/>
  <c r="U61" i="1"/>
  <c r="U49" i="1"/>
  <c r="U37" i="1"/>
  <c r="U25" i="1"/>
  <c r="U13" i="1"/>
  <c r="T60" i="1"/>
  <c r="U144" i="1"/>
  <c r="U132" i="1"/>
  <c r="U120" i="1"/>
  <c r="U108" i="1"/>
  <c r="U96" i="1"/>
  <c r="U84" i="1"/>
  <c r="U72" i="1"/>
  <c r="U60" i="1"/>
  <c r="U48" i="1"/>
  <c r="U36" i="1"/>
  <c r="U24" i="1"/>
  <c r="U12" i="1"/>
  <c r="T48" i="1"/>
  <c r="U143" i="1"/>
  <c r="U131" i="1"/>
  <c r="U119" i="1"/>
  <c r="U107" i="1"/>
  <c r="U95" i="1"/>
  <c r="U83" i="1"/>
  <c r="U71" i="1"/>
  <c r="U59" i="1"/>
  <c r="U47" i="1"/>
  <c r="U35" i="1"/>
  <c r="U23" i="1"/>
  <c r="U11" i="1"/>
  <c r="T36" i="1"/>
  <c r="U142" i="1"/>
  <c r="U130" i="1"/>
  <c r="U118" i="1"/>
  <c r="U106" i="1"/>
  <c r="U94" i="1"/>
  <c r="U82" i="1"/>
  <c r="U70" i="1"/>
  <c r="U58" i="1"/>
  <c r="U46" i="1"/>
  <c r="U34" i="1"/>
  <c r="U22" i="1"/>
  <c r="U10" i="1"/>
  <c r="T24" i="1"/>
  <c r="U141" i="1"/>
  <c r="U129" i="1"/>
  <c r="U117" i="1"/>
  <c r="U105" i="1"/>
  <c r="U93" i="1"/>
  <c r="U81" i="1"/>
  <c r="U69" i="1"/>
  <c r="U57" i="1"/>
  <c r="U45" i="1"/>
  <c r="U33" i="1"/>
  <c r="U21" i="1"/>
  <c r="U9" i="1"/>
  <c r="T12" i="1"/>
  <c r="U140" i="1"/>
  <c r="U128" i="1"/>
  <c r="U116" i="1"/>
  <c r="U104" i="1"/>
  <c r="U92" i="1"/>
  <c r="U80" i="1"/>
  <c r="U68" i="1"/>
  <c r="U56" i="1"/>
  <c r="U44" i="1"/>
  <c r="U32" i="1"/>
  <c r="U20" i="1"/>
  <c r="U8" i="1"/>
  <c r="T144" i="1"/>
  <c r="U151" i="1"/>
  <c r="U139" i="1"/>
  <c r="U127" i="1"/>
  <c r="U115" i="1"/>
  <c r="U103" i="1"/>
  <c r="U91" i="1"/>
  <c r="U79" i="1"/>
  <c r="U67" i="1"/>
  <c r="U55" i="1"/>
  <c r="U43" i="1"/>
  <c r="U31" i="1"/>
  <c r="U19" i="1"/>
  <c r="U7" i="1"/>
  <c r="T132" i="1"/>
  <c r="U150" i="1"/>
  <c r="U138" i="1"/>
  <c r="U126" i="1"/>
  <c r="U114" i="1"/>
  <c r="U102" i="1"/>
  <c r="U90" i="1"/>
  <c r="U78" i="1"/>
  <c r="U66" i="1"/>
  <c r="U54" i="1"/>
  <c r="U42" i="1"/>
  <c r="U30" i="1"/>
  <c r="U18" i="1"/>
  <c r="U6" i="1"/>
  <c r="T120" i="1"/>
  <c r="U149" i="1"/>
  <c r="U137" i="1"/>
  <c r="U125" i="1"/>
  <c r="U113" i="1"/>
  <c r="U101" i="1"/>
  <c r="U89" i="1"/>
  <c r="U77" i="1"/>
  <c r="U65" i="1"/>
  <c r="U53" i="1"/>
  <c r="U41" i="1"/>
  <c r="U29" i="1"/>
  <c r="U17" i="1"/>
  <c r="U5" i="1"/>
  <c r="T108" i="1"/>
  <c r="U148" i="1"/>
  <c r="U136" i="1"/>
  <c r="U124" i="1"/>
  <c r="U112" i="1"/>
  <c r="U100" i="1"/>
  <c r="U88" i="1"/>
  <c r="U76" i="1"/>
  <c r="U64" i="1"/>
  <c r="U52" i="1"/>
  <c r="U40" i="1"/>
  <c r="U28" i="1"/>
  <c r="U16" i="1"/>
  <c r="U4" i="1"/>
  <c r="T96" i="1"/>
  <c r="U147" i="1"/>
  <c r="U135" i="1"/>
  <c r="U123" i="1"/>
  <c r="U111" i="1"/>
  <c r="U99" i="1"/>
  <c r="U87" i="1"/>
  <c r="U75" i="1"/>
  <c r="U63" i="1"/>
  <c r="U51" i="1"/>
  <c r="U39" i="1"/>
  <c r="U27" i="1"/>
  <c r="U15" i="1"/>
  <c r="U3" i="1"/>
  <c r="T84" i="1"/>
  <c r="U146" i="1"/>
  <c r="U134" i="1"/>
  <c r="U122" i="1"/>
  <c r="U110" i="1"/>
  <c r="U98" i="1"/>
  <c r="U86" i="1"/>
  <c r="U74" i="1"/>
  <c r="U62" i="1"/>
  <c r="U50" i="1"/>
  <c r="U38" i="1"/>
  <c r="U26" i="1"/>
  <c r="U14" i="1"/>
  <c r="U2" i="1"/>
  <c r="B2" i="3"/>
  <c r="T145" i="1"/>
  <c r="T133" i="1"/>
  <c r="T121" i="1"/>
  <c r="T109" i="1"/>
  <c r="T97" i="1"/>
  <c r="T85" i="1"/>
  <c r="T73" i="1"/>
  <c r="T61" i="1"/>
  <c r="T49" i="1"/>
  <c r="T37" i="1"/>
  <c r="T25" i="1"/>
  <c r="T13" i="1"/>
  <c r="T143" i="1"/>
  <c r="T131" i="1"/>
  <c r="T119" i="1"/>
  <c r="T107" i="1"/>
  <c r="T95" i="1"/>
  <c r="T83" i="1"/>
  <c r="T71" i="1"/>
  <c r="T59" i="1"/>
  <c r="T47" i="1"/>
  <c r="T35" i="1"/>
  <c r="T23" i="1"/>
  <c r="T11" i="1"/>
  <c r="T142" i="1"/>
  <c r="T130" i="1"/>
  <c r="T118" i="1"/>
  <c r="T106" i="1"/>
  <c r="T94" i="1"/>
  <c r="T82" i="1"/>
  <c r="T70" i="1"/>
  <c r="T58" i="1"/>
  <c r="T46" i="1"/>
  <c r="T34" i="1"/>
  <c r="T22" i="1"/>
  <c r="T10" i="1"/>
  <c r="T141" i="1"/>
  <c r="T129" i="1"/>
  <c r="T117" i="1"/>
  <c r="T105" i="1"/>
  <c r="T93" i="1"/>
  <c r="T81" i="1"/>
  <c r="T69" i="1"/>
  <c r="T57" i="1"/>
  <c r="T45" i="1"/>
  <c r="T33" i="1"/>
  <c r="T21" i="1"/>
  <c r="T9" i="1"/>
  <c r="T140" i="1"/>
  <c r="T128" i="1"/>
  <c r="T116" i="1"/>
  <c r="T104" i="1"/>
  <c r="T92" i="1"/>
  <c r="T80" i="1"/>
  <c r="T68" i="1"/>
  <c r="T56" i="1"/>
  <c r="T44" i="1"/>
  <c r="T32" i="1"/>
  <c r="T20" i="1"/>
  <c r="T8" i="1"/>
  <c r="T151" i="1"/>
  <c r="T139" i="1"/>
  <c r="T127" i="1"/>
  <c r="T115" i="1"/>
  <c r="T103" i="1"/>
  <c r="T91" i="1"/>
  <c r="T79" i="1"/>
  <c r="T67" i="1"/>
  <c r="T55" i="1"/>
  <c r="T43" i="1"/>
  <c r="T31" i="1"/>
  <c r="T19" i="1"/>
  <c r="T7" i="1"/>
  <c r="T150" i="1"/>
  <c r="T138" i="1"/>
  <c r="T126" i="1"/>
  <c r="T114" i="1"/>
  <c r="T102" i="1"/>
  <c r="T90" i="1"/>
  <c r="T78" i="1"/>
  <c r="T66" i="1"/>
  <c r="T54" i="1"/>
  <c r="T42" i="1"/>
  <c r="T30" i="1"/>
  <c r="T18" i="1"/>
  <c r="T6" i="1"/>
  <c r="T149" i="1"/>
  <c r="T137" i="1"/>
  <c r="T125" i="1"/>
  <c r="T113" i="1"/>
  <c r="T101" i="1"/>
  <c r="T89" i="1"/>
  <c r="T77" i="1"/>
  <c r="T65" i="1"/>
  <c r="T53" i="1"/>
  <c r="T41" i="1"/>
  <c r="T29" i="1"/>
  <c r="T17" i="1"/>
  <c r="T5" i="1"/>
  <c r="T148" i="1"/>
  <c r="T136" i="1"/>
  <c r="T124" i="1"/>
  <c r="T112" i="1"/>
  <c r="T100" i="1"/>
  <c r="T88" i="1"/>
  <c r="T76" i="1"/>
  <c r="T64" i="1"/>
  <c r="T52" i="1"/>
  <c r="T40" i="1"/>
  <c r="T28" i="1"/>
  <c r="T16" i="1"/>
  <c r="T4" i="1"/>
  <c r="T147" i="1"/>
  <c r="T135" i="1"/>
  <c r="T123" i="1"/>
  <c r="T111" i="1"/>
  <c r="T99" i="1"/>
  <c r="T87" i="1"/>
  <c r="T75" i="1"/>
  <c r="T63" i="1"/>
  <c r="T51" i="1"/>
  <c r="T39" i="1"/>
  <c r="T27" i="1"/>
  <c r="T15" i="1"/>
  <c r="T3" i="1"/>
  <c r="T146" i="1"/>
  <c r="T134" i="1"/>
  <c r="T122" i="1"/>
  <c r="T110" i="1"/>
  <c r="T98" i="1"/>
  <c r="T86" i="1"/>
  <c r="T74" i="1"/>
  <c r="T62" i="1"/>
  <c r="T50" i="1"/>
  <c r="T38" i="1"/>
  <c r="T26" i="1"/>
  <c r="T14" i="1"/>
  <c r="T2" i="1"/>
  <c r="Q88" i="1" a="1"/>
  <c r="Q88" i="1" s="1"/>
  <c r="Q16" i="1" a="1"/>
  <c r="Q16" i="1" s="1"/>
  <c r="Q136" i="1" a="1"/>
  <c r="Q136" i="1" s="1"/>
  <c r="Q112" i="1" a="1"/>
  <c r="Q112" i="1" s="1"/>
  <c r="Q64" i="1" a="1"/>
  <c r="Q64" i="1" s="1"/>
  <c r="Q40" i="1" a="1"/>
  <c r="Q40" i="1" s="1"/>
  <c r="Q145" i="1" a="1"/>
  <c r="Q145" i="1" s="1"/>
  <c r="Q137" i="1" a="1"/>
  <c r="Q137" i="1" s="1"/>
  <c r="Q129" i="1" a="1"/>
  <c r="Q129" i="1" s="1"/>
  <c r="Q121" i="1" a="1"/>
  <c r="Q121" i="1" s="1"/>
  <c r="Q113" i="1" a="1"/>
  <c r="Q113" i="1" s="1"/>
  <c r="Q105" i="1" a="1"/>
  <c r="Q105" i="1" s="1"/>
  <c r="Q97" i="1" a="1"/>
  <c r="Q97" i="1" s="1"/>
  <c r="Q89" i="1" a="1"/>
  <c r="Q89" i="1" s="1"/>
  <c r="Q81" i="1" a="1"/>
  <c r="Q81" i="1" s="1"/>
  <c r="Q73" i="1" a="1"/>
  <c r="Q73" i="1" s="1"/>
  <c r="Q65" i="1" a="1"/>
  <c r="Q65" i="1" s="1"/>
  <c r="Q57" i="1" a="1"/>
  <c r="Q57" i="1" s="1"/>
  <c r="Q49" i="1" a="1"/>
  <c r="Q49" i="1" s="1"/>
  <c r="Q41" i="1" a="1"/>
  <c r="Q41" i="1" s="1"/>
  <c r="Q33" i="1" a="1"/>
  <c r="Q33" i="1" s="1"/>
  <c r="Q25" i="1" a="1"/>
  <c r="Q25" i="1" s="1"/>
  <c r="Q17" i="1" a="1"/>
  <c r="Q17" i="1" s="1"/>
  <c r="Q9" i="1" a="1"/>
  <c r="Q9" i="1" s="1"/>
  <c r="Q144" i="1" a="1"/>
  <c r="Q144" i="1" s="1"/>
  <c r="Q128" i="1" a="1"/>
  <c r="Q128" i="1" s="1"/>
  <c r="Q120" i="1" a="1"/>
  <c r="Q120" i="1" s="1"/>
  <c r="Q104" i="1" a="1"/>
  <c r="Q104" i="1" s="1"/>
  <c r="Q96" i="1" a="1"/>
  <c r="Q96" i="1" s="1"/>
  <c r="Q80" i="1" a="1"/>
  <c r="Q80" i="1" s="1"/>
  <c r="Q72" i="1" a="1"/>
  <c r="Q72" i="1" s="1"/>
  <c r="Q56" i="1" a="1"/>
  <c r="Q56" i="1" s="1"/>
  <c r="Q48" i="1" a="1"/>
  <c r="Q48" i="1" s="1"/>
  <c r="Q32" i="1" a="1"/>
  <c r="Q32" i="1" s="1"/>
  <c r="Q24" i="1" a="1"/>
  <c r="Q24" i="1" s="1"/>
  <c r="Q8" i="1" a="1"/>
  <c r="Q8" i="1" s="1"/>
  <c r="Q151" i="1" a="1"/>
  <c r="Q151" i="1" s="1"/>
  <c r="Q143" i="1" a="1"/>
  <c r="Q143" i="1" s="1"/>
  <c r="Q135" i="1" a="1"/>
  <c r="Q135" i="1" s="1"/>
  <c r="Q127" i="1" a="1"/>
  <c r="Q127" i="1" s="1"/>
  <c r="Q119" i="1" a="1"/>
  <c r="Q119" i="1" s="1"/>
  <c r="Q111" i="1" a="1"/>
  <c r="Q111" i="1" s="1"/>
  <c r="Q103" i="1" a="1"/>
  <c r="Q103" i="1" s="1"/>
  <c r="Q95" i="1" a="1"/>
  <c r="Q95" i="1" s="1"/>
  <c r="Q87" i="1" a="1"/>
  <c r="Q87" i="1" s="1"/>
  <c r="Q79" i="1" a="1"/>
  <c r="Q79" i="1" s="1"/>
  <c r="Q71" i="1" a="1"/>
  <c r="Q71" i="1" s="1"/>
  <c r="Q63" i="1" a="1"/>
  <c r="Q63" i="1" s="1"/>
  <c r="Q55" i="1" a="1"/>
  <c r="Q55" i="1" s="1"/>
  <c r="Q47" i="1" a="1"/>
  <c r="Q47" i="1" s="1"/>
  <c r="Q39" i="1" a="1"/>
  <c r="Q39" i="1" s="1"/>
  <c r="Q31" i="1" a="1"/>
  <c r="Q31" i="1" s="1"/>
  <c r="Q23" i="1" a="1"/>
  <c r="Q23" i="1" s="1"/>
  <c r="Q15" i="1" a="1"/>
  <c r="Q15" i="1" s="1"/>
  <c r="Q7" i="1" a="1"/>
  <c r="Q7" i="1" s="1"/>
  <c r="Q142" i="1" a="1"/>
  <c r="Q142" i="1" s="1"/>
  <c r="Q118" i="1" a="1"/>
  <c r="Q118" i="1" s="1"/>
  <c r="Q94" i="1" a="1"/>
  <c r="Q94" i="1" s="1"/>
  <c r="Q70" i="1" a="1"/>
  <c r="Q70" i="1" s="1"/>
  <c r="Q46" i="1" a="1"/>
  <c r="Q46" i="1" s="1"/>
  <c r="Q22" i="1" a="1"/>
  <c r="Q22" i="1" s="1"/>
  <c r="Q150" i="1" a="1"/>
  <c r="Q150" i="1" s="1"/>
  <c r="Q134" i="1" a="1"/>
  <c r="Q134" i="1" s="1"/>
  <c r="Q126" i="1" a="1"/>
  <c r="Q126" i="1" s="1"/>
  <c r="Q110" i="1" a="1"/>
  <c r="Q110" i="1" s="1"/>
  <c r="Q102" i="1" a="1"/>
  <c r="Q102" i="1" s="1"/>
  <c r="Q86" i="1" a="1"/>
  <c r="Q86" i="1" s="1"/>
  <c r="Q78" i="1" a="1"/>
  <c r="Q78" i="1" s="1"/>
  <c r="Q62" i="1" a="1"/>
  <c r="Q62" i="1" s="1"/>
  <c r="Q54" i="1" a="1"/>
  <c r="Q54" i="1" s="1"/>
  <c r="Q38" i="1" a="1"/>
  <c r="Q38" i="1" s="1"/>
  <c r="Q30" i="1" a="1"/>
  <c r="Q30" i="1" s="1"/>
  <c r="Q14" i="1" a="1"/>
  <c r="Q14" i="1" s="1"/>
  <c r="Q6" i="1" a="1"/>
  <c r="Q6" i="1" s="1"/>
  <c r="Q149" i="1" a="1"/>
  <c r="Q149" i="1" s="1"/>
  <c r="Q141" i="1" a="1"/>
  <c r="Q141" i="1" s="1"/>
  <c r="Q133" i="1" a="1"/>
  <c r="Q133" i="1" s="1"/>
  <c r="Q125" i="1" a="1"/>
  <c r="Q125" i="1" s="1"/>
  <c r="Q117" i="1" a="1"/>
  <c r="Q117" i="1" s="1"/>
  <c r="Q109" i="1" a="1"/>
  <c r="Q109" i="1" s="1"/>
  <c r="Q101" i="1" a="1"/>
  <c r="Q101" i="1" s="1"/>
  <c r="Q93" i="1" a="1"/>
  <c r="Q93" i="1" s="1"/>
  <c r="Q85" i="1" a="1"/>
  <c r="Q85" i="1" s="1"/>
  <c r="Q77" i="1" a="1"/>
  <c r="Q77" i="1" s="1"/>
  <c r="Q69" i="1" a="1"/>
  <c r="Q69" i="1" s="1"/>
  <c r="Q61" i="1" a="1"/>
  <c r="Q61" i="1" s="1"/>
  <c r="Q53" i="1" a="1"/>
  <c r="Q53" i="1" s="1"/>
  <c r="Q45" i="1" a="1"/>
  <c r="Q45" i="1" s="1"/>
  <c r="Q37" i="1" a="1"/>
  <c r="Q37" i="1" s="1"/>
  <c r="Q29" i="1" a="1"/>
  <c r="Q29" i="1" s="1"/>
  <c r="Q21" i="1" a="1"/>
  <c r="Q21" i="1" s="1"/>
  <c r="Q13" i="1" a="1"/>
  <c r="Q13" i="1" s="1"/>
  <c r="Q5" i="1" a="1"/>
  <c r="Q5" i="1" s="1"/>
  <c r="Q148" i="1" a="1"/>
  <c r="Q148" i="1" s="1"/>
  <c r="Q124" i="1" a="1"/>
  <c r="Q124" i="1" s="1"/>
  <c r="Q100" i="1" a="1"/>
  <c r="Q100" i="1" s="1"/>
  <c r="Q76" i="1" a="1"/>
  <c r="Q76" i="1" s="1"/>
  <c r="Q52" i="1" a="1"/>
  <c r="Q52" i="1" s="1"/>
  <c r="Q28" i="1" a="1"/>
  <c r="Q28" i="1" s="1"/>
  <c r="Q4" i="1" a="1"/>
  <c r="Q4" i="1" s="1"/>
  <c r="Q140" i="1" a="1"/>
  <c r="Q140" i="1" s="1"/>
  <c r="Q132" i="1" a="1"/>
  <c r="Q132" i="1" s="1"/>
  <c r="Q116" i="1" a="1"/>
  <c r="Q116" i="1" s="1"/>
  <c r="Q108" i="1" a="1"/>
  <c r="Q108" i="1" s="1"/>
  <c r="Q92" i="1" a="1"/>
  <c r="Q92" i="1" s="1"/>
  <c r="Q84" i="1" a="1"/>
  <c r="Q84" i="1" s="1"/>
  <c r="Q68" i="1" a="1"/>
  <c r="Q68" i="1" s="1"/>
  <c r="Q60" i="1" a="1"/>
  <c r="Q60" i="1" s="1"/>
  <c r="Q44" i="1" a="1"/>
  <c r="Q44" i="1" s="1"/>
  <c r="Q36" i="1" a="1"/>
  <c r="Q36" i="1" s="1"/>
  <c r="Q20" i="1" a="1"/>
  <c r="Q20" i="1" s="1"/>
  <c r="Q12" i="1" a="1"/>
  <c r="Q12" i="1" s="1"/>
  <c r="Q147" i="1" a="1"/>
  <c r="Q147" i="1" s="1"/>
  <c r="Q139" i="1" a="1"/>
  <c r="Q139" i="1" s="1"/>
  <c r="Q131" i="1" a="1"/>
  <c r="Q131" i="1" s="1"/>
  <c r="Q123" i="1" a="1"/>
  <c r="Q123" i="1" s="1"/>
  <c r="Q115" i="1" a="1"/>
  <c r="Q115" i="1" s="1"/>
  <c r="Q107" i="1" a="1"/>
  <c r="Q107" i="1" s="1"/>
  <c r="Q99" i="1" a="1"/>
  <c r="Q99" i="1" s="1"/>
  <c r="Q91" i="1" a="1"/>
  <c r="Q91" i="1" s="1"/>
  <c r="Q83" i="1" a="1"/>
  <c r="Q83" i="1" s="1"/>
  <c r="Q75" i="1" a="1"/>
  <c r="Q75" i="1" s="1"/>
  <c r="Q67" i="1" a="1"/>
  <c r="Q67" i="1" s="1"/>
  <c r="Q59" i="1" a="1"/>
  <c r="Q59" i="1" s="1"/>
  <c r="Q51" i="1" a="1"/>
  <c r="Q51" i="1" s="1"/>
  <c r="Q43" i="1" a="1"/>
  <c r="Q43" i="1" s="1"/>
  <c r="Q35" i="1" a="1"/>
  <c r="Q35" i="1" s="1"/>
  <c r="Q27" i="1" a="1"/>
  <c r="Q27" i="1" s="1"/>
  <c r="Q19" i="1" a="1"/>
  <c r="Q19" i="1" s="1"/>
  <c r="Q11" i="1" a="1"/>
  <c r="Q11" i="1" s="1"/>
  <c r="Q3" i="1" a="1"/>
  <c r="Q3" i="1" s="1"/>
  <c r="Q130" i="1" a="1"/>
  <c r="Q130" i="1" s="1"/>
  <c r="Q106" i="1" a="1"/>
  <c r="Q106" i="1" s="1"/>
  <c r="Q82" i="1" a="1"/>
  <c r="Q82" i="1" s="1"/>
  <c r="Q58" i="1" a="1"/>
  <c r="Q58" i="1" s="1"/>
  <c r="Q34" i="1" a="1"/>
  <c r="Q34" i="1" s="1"/>
  <c r="Q10" i="1" a="1"/>
  <c r="Q10" i="1" s="1"/>
  <c r="Q146" i="1" a="1"/>
  <c r="Q146" i="1" s="1"/>
  <c r="Q138" i="1" a="1"/>
  <c r="Q138" i="1" s="1"/>
  <c r="Q122" i="1" a="1"/>
  <c r="Q122" i="1" s="1"/>
  <c r="Q114" i="1" a="1"/>
  <c r="Q114" i="1" s="1"/>
  <c r="Q98" i="1" a="1"/>
  <c r="Q98" i="1" s="1"/>
  <c r="Q90" i="1" a="1"/>
  <c r="Q90" i="1" s="1"/>
  <c r="Q74" i="1" a="1"/>
  <c r="Q74" i="1" s="1"/>
  <c r="Q66" i="1" a="1"/>
  <c r="Q66" i="1" s="1"/>
  <c r="Q50" i="1" a="1"/>
  <c r="Q50" i="1" s="1"/>
  <c r="Q42" i="1" a="1"/>
  <c r="Q42" i="1" s="1"/>
  <c r="Q26" i="1" a="1"/>
  <c r="Q26" i="1" s="1"/>
  <c r="Q18" i="1" a="1"/>
  <c r="Q18" i="1" s="1"/>
  <c r="Q2" i="1" a="1"/>
  <c r="Q2" i="1" s="1"/>
  <c r="D1" i="7" l="1"/>
  <c r="M4" i="6"/>
  <c r="N4" i="6" s="1" a="1"/>
  <c r="N4" i="6" s="1"/>
  <c r="M7" i="6"/>
  <c r="M5" i="6"/>
  <c r="N5" i="6" s="1" a="1"/>
  <c r="N5" i="6" s="1"/>
  <c r="M3" i="6"/>
  <c r="N3" i="6" s="1" a="1"/>
  <c r="N3" i="6" s="1"/>
  <c r="M2" i="6"/>
  <c r="N2" i="6" s="1" a="1"/>
  <c r="N2" i="6" s="1"/>
  <c r="M6" i="6"/>
  <c r="N6" i="6" s="1" a="1"/>
  <c r="N6" i="6" s="1"/>
  <c r="N7" i="6" l="1" a="1"/>
  <c r="N7" i="6" s="1"/>
  <c r="A1" i="7"/>
  <c r="C1" i="7" l="1"/>
  <c r="B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<sst xmlns="http://schemas.openxmlformats.org/spreadsheetml/2006/main" count="1305" uniqueCount="245">
  <si>
    <t>Ticket_ID</t>
  </si>
  <si>
    <t>Ticket_Date</t>
  </si>
  <si>
    <t>Agent_ID</t>
  </si>
  <si>
    <t>Agent_Name</t>
  </si>
  <si>
    <t>Process</t>
  </si>
  <si>
    <t>Channel</t>
  </si>
  <si>
    <t>Customer_Type</t>
  </si>
  <si>
    <t>Priority</t>
  </si>
  <si>
    <t>Open_Time</t>
  </si>
  <si>
    <t>Close_Time</t>
  </si>
  <si>
    <t>SLA_Target_Min</t>
  </si>
  <si>
    <t>CSAT_Score</t>
  </si>
  <si>
    <t>Reopen_Flag</t>
  </si>
  <si>
    <t>TCKT001</t>
  </si>
  <si>
    <t>AG001</t>
  </si>
  <si>
    <t>Rahul</t>
  </si>
  <si>
    <t>Tech Support</t>
  </si>
  <si>
    <t>Call</t>
  </si>
  <si>
    <t>Existing</t>
  </si>
  <si>
    <t>High</t>
  </si>
  <si>
    <t>No</t>
  </si>
  <si>
    <t>TCKT002</t>
  </si>
  <si>
    <t>AG002</t>
  </si>
  <si>
    <t>Anita</t>
  </si>
  <si>
    <t>Billing</t>
  </si>
  <si>
    <t>Chat</t>
  </si>
  <si>
    <t>New</t>
  </si>
  <si>
    <t>Medium</t>
  </si>
  <si>
    <t>TCKT003</t>
  </si>
  <si>
    <t>AG003</t>
  </si>
  <si>
    <t>Suresh</t>
  </si>
  <si>
    <t>Email</t>
  </si>
  <si>
    <t>Low</t>
  </si>
  <si>
    <t>TCKT004</t>
  </si>
  <si>
    <t>AG004</t>
  </si>
  <si>
    <t>Priya</t>
  </si>
  <si>
    <t>Sales</t>
  </si>
  <si>
    <t>Yes</t>
  </si>
  <si>
    <t>TCKT005</t>
  </si>
  <si>
    <t>TCKT006</t>
  </si>
  <si>
    <t>TCKT007</t>
  </si>
  <si>
    <t>AG005</t>
  </si>
  <si>
    <t>Rohit</t>
  </si>
  <si>
    <t>TCKT008</t>
  </si>
  <si>
    <t>AG006</t>
  </si>
  <si>
    <t>Kavya</t>
  </si>
  <si>
    <t>TCKT009</t>
  </si>
  <si>
    <t>TCKT010</t>
  </si>
  <si>
    <t>TCKT011</t>
  </si>
  <si>
    <t>TCKT012</t>
  </si>
  <si>
    <t>TCKT013</t>
  </si>
  <si>
    <t>TCKT014</t>
  </si>
  <si>
    <t>TCKT015</t>
  </si>
  <si>
    <t>TCKT016</t>
  </si>
  <si>
    <t>TCKT017</t>
  </si>
  <si>
    <t>TCKT018</t>
  </si>
  <si>
    <t>TCKT019</t>
  </si>
  <si>
    <t>TCKT020</t>
  </si>
  <si>
    <t>TCKT021</t>
  </si>
  <si>
    <t>TCKT022</t>
  </si>
  <si>
    <t>TCKT023</t>
  </si>
  <si>
    <t>TCKT024</t>
  </si>
  <si>
    <t>TCKT025</t>
  </si>
  <si>
    <t>TCKT026</t>
  </si>
  <si>
    <t>TCKT027</t>
  </si>
  <si>
    <t>TCKT028</t>
  </si>
  <si>
    <t>TCKT029</t>
  </si>
  <si>
    <t>TCKT030</t>
  </si>
  <si>
    <t>TCKT031</t>
  </si>
  <si>
    <t>TCKT032</t>
  </si>
  <si>
    <t>TCKT033</t>
  </si>
  <si>
    <t>TCKT034</t>
  </si>
  <si>
    <t>TCKT035</t>
  </si>
  <si>
    <t>TCKT036</t>
  </si>
  <si>
    <t>TCKT037</t>
  </si>
  <si>
    <t>TCKT038</t>
  </si>
  <si>
    <t>TCKT039</t>
  </si>
  <si>
    <t>TCKT040</t>
  </si>
  <si>
    <t>TCKT041</t>
  </si>
  <si>
    <t>TCKT042</t>
  </si>
  <si>
    <t>TCKT043</t>
  </si>
  <si>
    <t>TCKT044</t>
  </si>
  <si>
    <t>TCKT045</t>
  </si>
  <si>
    <t>TCKT046</t>
  </si>
  <si>
    <t>TCKT047</t>
  </si>
  <si>
    <t>TCKT048</t>
  </si>
  <si>
    <t>TCKT049</t>
  </si>
  <si>
    <t>TCKT050</t>
  </si>
  <si>
    <t>TCKT051</t>
  </si>
  <si>
    <t>TCKT052</t>
  </si>
  <si>
    <t>TCKT053</t>
  </si>
  <si>
    <t>TCKT054</t>
  </si>
  <si>
    <t>TCKT055</t>
  </si>
  <si>
    <t>TCKT056</t>
  </si>
  <si>
    <t>TCKT057</t>
  </si>
  <si>
    <t>TCKT058</t>
  </si>
  <si>
    <t>TCKT059</t>
  </si>
  <si>
    <t>TCKT060</t>
  </si>
  <si>
    <t>TCKT061</t>
  </si>
  <si>
    <t>TCKT062</t>
  </si>
  <si>
    <t>TCKT063</t>
  </si>
  <si>
    <t>TCKT064</t>
  </si>
  <si>
    <t>TCKT065</t>
  </si>
  <si>
    <t>TCKT066</t>
  </si>
  <si>
    <t>TCKT067</t>
  </si>
  <si>
    <t>TCKT068</t>
  </si>
  <si>
    <t>TCKT069</t>
  </si>
  <si>
    <t>TCKT070</t>
  </si>
  <si>
    <t>TCKT071</t>
  </si>
  <si>
    <t>TCKT072</t>
  </si>
  <si>
    <t>TCKT073</t>
  </si>
  <si>
    <t>TCKT074</t>
  </si>
  <si>
    <t>TCKT075</t>
  </si>
  <si>
    <t>TCKT076</t>
  </si>
  <si>
    <t>TCKT077</t>
  </si>
  <si>
    <t>TCKT078</t>
  </si>
  <si>
    <t>TCKT079</t>
  </si>
  <si>
    <t>TCKT080</t>
  </si>
  <si>
    <t>TCKT081</t>
  </si>
  <si>
    <t>TCKT082</t>
  </si>
  <si>
    <t>TCKT083</t>
  </si>
  <si>
    <t>TCKT084</t>
  </si>
  <si>
    <t>TCKT085</t>
  </si>
  <si>
    <t>TCKT086</t>
  </si>
  <si>
    <t>TCKT087</t>
  </si>
  <si>
    <t>TCKT088</t>
  </si>
  <si>
    <t>TCKT089</t>
  </si>
  <si>
    <t>TCKT090</t>
  </si>
  <si>
    <t>TCKT091</t>
  </si>
  <si>
    <t>TCKT092</t>
  </si>
  <si>
    <t>TCKT093</t>
  </si>
  <si>
    <t>TCKT094</t>
  </si>
  <si>
    <t>TCKT095</t>
  </si>
  <si>
    <t>TCKT096</t>
  </si>
  <si>
    <t>TCKT097</t>
  </si>
  <si>
    <t>TCKT098</t>
  </si>
  <si>
    <t>TCKT099</t>
  </si>
  <si>
    <t>TCKT100</t>
  </si>
  <si>
    <t>TCKT101</t>
  </si>
  <si>
    <t>TCKT102</t>
  </si>
  <si>
    <t>TCKT103</t>
  </si>
  <si>
    <t>TCKT104</t>
  </si>
  <si>
    <t>TCKT105</t>
  </si>
  <si>
    <t>TCKT106</t>
  </si>
  <si>
    <t>TCKT107</t>
  </si>
  <si>
    <t>TCKT108</t>
  </si>
  <si>
    <t>TCKT109</t>
  </si>
  <si>
    <t>TCKT110</t>
  </si>
  <si>
    <t>TCKT111</t>
  </si>
  <si>
    <t>TCKT112</t>
  </si>
  <si>
    <t>TCKT113</t>
  </si>
  <si>
    <t>TCKT114</t>
  </si>
  <si>
    <t>TCKT115</t>
  </si>
  <si>
    <t>TCKT116</t>
  </si>
  <si>
    <t>TCKT117</t>
  </si>
  <si>
    <t>TCKT118</t>
  </si>
  <si>
    <t>TCKT119</t>
  </si>
  <si>
    <t>TCKT120</t>
  </si>
  <si>
    <t>TCKT121</t>
  </si>
  <si>
    <t>TCKT122</t>
  </si>
  <si>
    <t>TCKT123</t>
  </si>
  <si>
    <t>TCKT124</t>
  </si>
  <si>
    <t>TCKT125</t>
  </si>
  <si>
    <t>TCKT126</t>
  </si>
  <si>
    <t>TCKT127</t>
  </si>
  <si>
    <t>TCKT128</t>
  </si>
  <si>
    <t>TCKT129</t>
  </si>
  <si>
    <t>TCKT130</t>
  </si>
  <si>
    <t>TCKT131</t>
  </si>
  <si>
    <t>TCKT132</t>
  </si>
  <si>
    <t>TCKT133</t>
  </si>
  <si>
    <t>TCKT134</t>
  </si>
  <si>
    <t>TCKT135</t>
  </si>
  <si>
    <t>TCKT136</t>
  </si>
  <si>
    <t>TCKT137</t>
  </si>
  <si>
    <t>TCKT138</t>
  </si>
  <si>
    <t>TCKT139</t>
  </si>
  <si>
    <t>TCKT140</t>
  </si>
  <si>
    <t>TCKT141</t>
  </si>
  <si>
    <t>TCKT142</t>
  </si>
  <si>
    <t>TCKT143</t>
  </si>
  <si>
    <t>TCKT144</t>
  </si>
  <si>
    <t>TCKT145</t>
  </si>
  <si>
    <t>TCKT146</t>
  </si>
  <si>
    <t>TCKT147</t>
  </si>
  <si>
    <t>TCKT148</t>
  </si>
  <si>
    <t>TCKT149</t>
  </si>
  <si>
    <t>TCKT150</t>
  </si>
  <si>
    <t>Resolution_Time_Min</t>
  </si>
  <si>
    <t>SLA_Status</t>
  </si>
  <si>
    <t>SLA_Breach_Flag</t>
  </si>
  <si>
    <t>Resolution_Bucket</t>
  </si>
  <si>
    <t>CSAT_Bucket</t>
  </si>
  <si>
    <t>Reopen_Flag_Num</t>
  </si>
  <si>
    <t>SLA_Met_Flag</t>
  </si>
  <si>
    <t>Agent_Performance_Score</t>
  </si>
  <si>
    <t>SLA Compliance %</t>
  </si>
  <si>
    <t>Total_Tickets</t>
  </si>
  <si>
    <t>SLA_Met</t>
  </si>
  <si>
    <t>SLA_Breach</t>
  </si>
  <si>
    <t>Average_Resolution_Time_Min</t>
  </si>
  <si>
    <t>Average_CSAT_Score</t>
  </si>
  <si>
    <t>Tickets</t>
  </si>
  <si>
    <t>Breached</t>
  </si>
  <si>
    <t>Met</t>
  </si>
  <si>
    <t>SLA_Breach_Count</t>
  </si>
  <si>
    <t>SLA Breach % By Agent</t>
  </si>
  <si>
    <t>Total Tickets</t>
  </si>
  <si>
    <t>Average Resolution Time</t>
  </si>
  <si>
    <t>Average CSAT Score</t>
  </si>
  <si>
    <t>SLA_Breaches</t>
  </si>
  <si>
    <t>Jan</t>
  </si>
  <si>
    <t>Feb</t>
  </si>
  <si>
    <t>Date</t>
  </si>
  <si>
    <t>Last Refreshed on 08-Feb-2026</t>
  </si>
  <si>
    <t>Management Insights:</t>
  </si>
  <si>
    <t>Year/Month</t>
  </si>
  <si>
    <t>1. Tech Support and Sales together drive the majority of SLA breaches.</t>
  </si>
  <si>
    <t>2. SLA breaches reduce average CSAT by approximately 45%.</t>
  </si>
  <si>
    <t>3. High-priority tickets require faster escalation to prevent SLA failures.</t>
  </si>
  <si>
    <t>Total_Tickets_Handled</t>
  </si>
  <si>
    <t>SLA_Met_Count</t>
  </si>
  <si>
    <t>Avg_Resolution_Time_Min</t>
  </si>
  <si>
    <t>Avg_CSAT_Score</t>
  </si>
  <si>
    <t>Reopen_Rate %</t>
  </si>
  <si>
    <t>SLA_Score</t>
  </si>
  <si>
    <t>Productivity_Score</t>
  </si>
  <si>
    <t>Reopen_Score</t>
  </si>
  <si>
    <t>Agent performance score</t>
  </si>
  <si>
    <t>Performance_Bucket</t>
  </si>
  <si>
    <t>Metric</t>
  </si>
  <si>
    <t>Weight</t>
  </si>
  <si>
    <t xml:space="preserve">SLA_Compliance </t>
  </si>
  <si>
    <t>CSAT</t>
  </si>
  <si>
    <t xml:space="preserve">Productivity </t>
  </si>
  <si>
    <t xml:space="preserve">Reopen_Rate </t>
  </si>
  <si>
    <t>Average Performance Score</t>
  </si>
  <si>
    <t>Star Performers Count</t>
  </si>
  <si>
    <t>Needs Coaching Count</t>
  </si>
  <si>
    <t>Average SLA Score</t>
  </si>
  <si>
    <t>Management Insights</t>
  </si>
  <si>
    <t>1. Kavya and Anita consistently outperform peers and qualify for rewards</t>
  </si>
  <si>
    <t>2. Rohit shows high reopen rate and low CSAT despite acceptable productivity standards</t>
  </si>
  <si>
    <t>3. Targeted coaching can improve quality without increasing resolution time</t>
  </si>
  <si>
    <t>Last Refereshed on 09-Feb-2026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</si>
</sst>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8" x14ac:knownFonts="1">
    <font>
      <sz val="11"/>
      <color theme="1"/>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sz val="8"/>
      <name val="Calibri"/>
      <family val="2"/>
      <scheme val="minor"/>
    </font>
    <font>
      <b/>
      <sz val="22"/>
      <color theme="0"/>
      <name val="Segoe UI"/>
      <family val="2"/>
    </font>
    <font>
      <b/>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8" tint="-0.249977111117893"/>
        <bgColor indexed="64"/>
      </patternFill>
    </fill>
  </fills>
  <borders count="3">
    <border>
      <left/>
      <right/>
      <top/>
      <bottom/>
      <diagonal/>
    </border>
    <border>
      <left/>
      <right style="thin">
        <color theme="1" tint="0.14999847407452621"/>
      </right>
      <top/>
      <bottom/>
      <diagonal/>
    </border>
    <border>
      <left style="thin">
        <color theme="1" tint="0.14999847407452621"/>
      </left>
      <right style="thin">
        <color theme="1" tint="0.14999847407452621"/>
      </right>
      <top/>
      <bottom/>
      <diagonal/>
    </border>
  </borders>
  <cellStyleXfs count="1">
    <xf numFmtId="0" fontId="0" fillId="0" borderId="0"/>
  </cellStyleXfs>
  <cellXfs count="24">
    <xf numFmtId="0" fontId="0" fillId="0" borderId="0" xfId="0"/>
    <xf numFmtId="14" fontId="0" fillId="0" borderId="0" xfId="0" applyNumberFormat="1"/>
    <xf numFmtId="20" fontId="0" fillId="0" borderId="0" xfId="0" applyNumberFormat="1"/>
    <xf numFmtId="1" fontId="0" fillId="0" borderId="0" xfId="0" applyNumberFormat="1"/>
    <xf numFmtId="164" fontId="0" fillId="0" borderId="0" xfId="0" applyNumberFormat="1"/>
    <xf numFmtId="9" fontId="0" fillId="0" borderId="0" xfId="0" applyNumberFormat="1"/>
    <xf numFmtId="0" fontId="1" fillId="2" borderId="0" xfId="0" applyFont="1" applyFill="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1" fillId="3" borderId="0" xfId="0" applyFont="1" applyFill="1"/>
    <xf numFmtId="165" fontId="0" fillId="0" borderId="0" xfId="0" applyNumberFormat="1"/>
    <xf numFmtId="0" fontId="2" fillId="0" borderId="0" xfId="0" applyFont="1"/>
    <xf numFmtId="0" fontId="3" fillId="0" borderId="0" xfId="0" applyFont="1"/>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0" xfId="0" applyFont="1" applyFill="1" applyAlignment="1">
      <alignment horizontal="center" vertical="center"/>
    </xf>
    <xf numFmtId="9" fontId="5" fillId="5" borderId="1" xfId="0" applyNumberFormat="1" applyFont="1" applyFill="1" applyBorder="1" applyAlignment="1">
      <alignment horizontal="right"/>
    </xf>
    <xf numFmtId="0" fontId="5" fillId="5" borderId="2" xfId="0" applyFont="1" applyFill="1" applyBorder="1"/>
    <xf numFmtId="9" fontId="5" fillId="5" borderId="0" xfId="0" applyNumberFormat="1" applyFont="1" applyFill="1"/>
    <xf numFmtId="0" fontId="6" fillId="0" borderId="0" xfId="0" applyFont="1"/>
    <xf numFmtId="0" fontId="7" fillId="0" borderId="0" xfId="0" applyFont="1"/>
    <xf numFmtId="9" fontId="1" fillId="0" borderId="0" xfId="0" applyNumberFormat="1" applyFont="1"/>
  </cellXfs>
  <cellStyles count="1">
    <cellStyle name="Normal" xfId="0" builtinId="0"/>
  </cellStyles>
  <dxfs count="35">
    <dxf>
      <fill>
        <patternFill>
          <bgColor theme="9" tint="0.39994506668294322"/>
        </patternFill>
      </fill>
    </dxf>
    <dxf>
      <fill>
        <patternFill>
          <bgColor theme="7" tint="0.39994506668294322"/>
        </patternFill>
      </fill>
    </dxf>
    <dxf>
      <fill>
        <patternFill>
          <fgColor auto="1"/>
          <bgColor rgb="FFFF5425"/>
        </patternFill>
      </fill>
    </dxf>
    <dxf>
      <font>
        <b/>
        <i val="0"/>
      </font>
    </dxf>
    <dxf>
      <numFmt numFmtId="13" formatCode="0%"/>
    </dxf>
    <dxf>
      <font>
        <b/>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5" formatCode="hh:mm"/>
    </dxf>
    <dxf>
      <numFmt numFmtId="25" formatCode="hh:mm"/>
    </dxf>
    <dxf>
      <numFmt numFmtId="19" formatCode="dd/mm/yyyy"/>
    </dxf>
  </dxfs>
  <tableStyles count="1" defaultTableStyle="TableStyleMedium2" defaultPivotStyle="PivotStyleLight16">
    <tableStyle name="Slicer Style 1" pivot="0" table="0" count="1" xr9:uid="{12FFD880-801C-4CFA-93D9-1E323AE5EE07}"/>
  </tableStyles>
  <colors>
    <mruColors>
      <color rgb="FFFF5425"/>
      <color rgb="FFC03700"/>
      <color rgb="FFFF0000"/>
      <color rgb="FFD9B42C"/>
      <color rgb="FF4FB443"/>
    </mruColors>
  </colors>
  <extLst>
    <ext xmlns:x14="http://schemas.microsoft.com/office/spreadsheetml/2009/9/main" uri="{46F421CA-312F-682f-3DD2-61675219B42D}">
      <x14:dxfs count="1">
        <dxf>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[BPO operations performance analysis.xlsx]Pivot_Backend!PivotTable3</c:name>
    <c:fmtId val="5"/>
  </c:pivotSource>
  <c:chart>
    <c:title>
      <c:tx>
        <c:rich>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r>
              <a:rPr lang="en-IN" sz="1800" b="1">
                <a:solidFill>
                  <a:schemeClr val="tx1">
                    <a:lumMod val="85000"/>
                    <a:lumOff val="15000"/>
                  </a:schemeClr>
                </a:solidFill>
              </a:rPr>
              <a:t>Departments Driving SLA Breaches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Pivot_Backend!$B$19</c:f>
              <c:strCache>
                <c:ptCount val="1"/>
                <c:pt idx="0">
                  <c:v>SLA_Breaches</c:v>
                </c:pt>
              </c:strCache>
            </c:strRef>
          </c:tx>
          <c:spPr>
            <a:solidFill>
              <a:schemeClr val="accent5">
                <a:lumMod val="75000"/>
              </a:schemeClr>
            </a:solidFill>
            <a:ln>
              <a:noFill/>
            </a:ln>
            <a:effectLst/>
          </c:spPr>
          <c:invertIfNegative val="0"/>
          <c:cat>
            <c:strRef>
              <c:f>Pivot_Backend!$A$20:$A$22</c:f>
              <c:strCache>
                <c:ptCount val="3"/>
                <c:pt idx="0">
                  <c:v>Tech Support</c:v>
                </c:pt>
                <c:pt idx="1">
                  <c:v>Sales</c:v>
                </c:pt>
                <c:pt idx="2">
                  <c:v>Billing</c:v>
                </c:pt>
              </c:strCache>
            </c:strRef>
          </c:cat>
          <c:val>
            <c:numRef>
              <c:f>Pivot_Backend!$B$20:$B$22</c:f>
              <c:numCache>
                <c:formatCode>General</c:formatCode>
                <c:ptCount val="3"/>
                <c:pt idx="0">
                  <c:v>28</c:v>
                </c:pt>
                <c:pt idx="1">
                  <c:v>27</c:v>
                </c:pt>
                <c:pt idx="2">
                  <c:v>0</c:v>
                </c:pt>
              </c:numCache>
            </c:numRef>
          </c:val>
          <c:extLst>
            <c:ext xmlns:c16="http://schemas.microsoft.com/office/drawing/2014/chart" uri="{C3380CC4-5D6E-409C-BE32-E72D297353CC}">
              <c16:uniqueId val="{00000000-D546-4EC3-927D-86B1940760B3}"/>
            </c:ext>
          </c:extLst>
        </c:ser>
        <c:ser>
          <c:idx val="1"/>
          <c:order val="1"/>
          <c:tx>
            <c:strRef>
              <c:f>Pivot_Backend!$C$19</c:f>
              <c:strCache>
                <c:ptCount val="1"/>
                <c:pt idx="0">
                  <c:v>Tickets</c:v>
                </c:pt>
              </c:strCache>
            </c:strRef>
          </c:tx>
          <c:spPr>
            <a:solidFill>
              <a:schemeClr val="accent4">
                <a:lumMod val="60000"/>
                <a:lumOff val="40000"/>
              </a:schemeClr>
            </a:solidFill>
            <a:ln>
              <a:noFill/>
            </a:ln>
            <a:effectLst/>
          </c:spPr>
          <c:invertIfNegative val="0"/>
          <c:cat>
            <c:strRef>
              <c:f>Pivot_Backend!$A$20:$A$22</c:f>
              <c:strCache>
                <c:ptCount val="3"/>
                <c:pt idx="0">
                  <c:v>Tech Support</c:v>
                </c:pt>
                <c:pt idx="1">
                  <c:v>Sales</c:v>
                </c:pt>
                <c:pt idx="2">
                  <c:v>Billing</c:v>
                </c:pt>
              </c:strCache>
            </c:strRef>
          </c:cat>
          <c:val>
            <c:numRef>
              <c:f>Pivot_Backend!$C$20:$C$22</c:f>
              <c:numCache>
                <c:formatCode>General</c:formatCode>
                <c:ptCount val="3"/>
                <c:pt idx="0">
                  <c:v>76</c:v>
                </c:pt>
                <c:pt idx="1">
                  <c:v>49</c:v>
                </c:pt>
                <c:pt idx="2">
                  <c:v>25</c:v>
                </c:pt>
              </c:numCache>
            </c:numRef>
          </c:val>
          <c:extLst>
            <c:ext xmlns:c16="http://schemas.microsoft.com/office/drawing/2014/chart" uri="{C3380CC4-5D6E-409C-BE32-E72D297353CC}">
              <c16:uniqueId val="{00000001-D546-4EC3-927D-86B1940760B3}"/>
            </c:ext>
          </c:extLst>
        </c:ser>
        <c:dLbls>
          <c:showLegendKey val="0"/>
          <c:showVal val="0"/>
          <c:showCatName val="0"/>
          <c:showSerName val="0"/>
          <c:showPercent val="0"/>
          <c:showBubbleSize val="0"/>
        </c:dLbls>
        <c:gapWidth val="182"/>
        <c:axId val="1691215392"/>
        <c:axId val="1691215872"/>
      </c:barChart>
      <c:catAx>
        <c:axId val="1691215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91215872"/>
        <c:crosses val="autoZero"/>
        <c:auto val="1"/>
        <c:lblAlgn val="ctr"/>
        <c:lblOffset val="100"/>
        <c:noMultiLvlLbl val="0"/>
      </c:catAx>
      <c:valAx>
        <c:axId val="1691215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91215392"/>
        <c:crosses val="autoZero"/>
        <c:crossBetween val="between"/>
      </c:valAx>
      <c:spPr>
        <a:noFill/>
        <a:ln>
          <a:noFill/>
        </a:ln>
        <a:effectLst/>
      </c:spPr>
    </c:plotArea>
    <c:legend>
      <c:legendPos val="r"/>
      <c:layout>
        <c:manualLayout>
          <c:xMode val="edge"/>
          <c:yMode val="edge"/>
          <c:x val="0.81026902887139107"/>
          <c:y val="0.49421817585301836"/>
          <c:w val="0.18973097112860896"/>
          <c:h val="0.18229265091863514"/>
        </c:manualLayout>
      </c:layout>
      <c:overlay val="0"/>
      <c:spPr>
        <a:noFill/>
        <a:ln>
          <a:noFill/>
        </a:ln>
        <a:effectLst>
          <a:softEdge rad="0"/>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[BPO operations performance analysis.xlsx]Pivot_Backend!PivotTable2</c:name>
    <c:fmtId val="5"/>
  </c:pivotSource>
  <c:chart>
    <c:title>
      <c:tx>
        <c:rich>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r>
              <a:rPr lang="en-US" sz="1800" b="1">
                <a:solidFill>
                  <a:schemeClr val="tx1">
                    <a:lumMod val="85000"/>
                    <a:lumOff val="15000"/>
                  </a:schemeClr>
                </a:solidFill>
              </a:rPr>
              <a:t>SLA Breach</a:t>
            </a:r>
            <a:r>
              <a:rPr lang="en-US" sz="1800" b="1" baseline="0">
                <a:solidFill>
                  <a:schemeClr val="tx1">
                    <a:lumMod val="85000"/>
                    <a:lumOff val="15000"/>
                  </a:schemeClr>
                </a:solidFill>
              </a:rPr>
              <a:t> By Agent Top 5</a:t>
            </a:r>
            <a:endParaRPr lang="en-US" sz="18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Pivot_Backend!$B$8</c:f>
              <c:strCache>
                <c:ptCount val="1"/>
                <c:pt idx="0">
                  <c:v>Total</c:v>
                </c:pt>
              </c:strCache>
            </c:strRef>
          </c:tx>
          <c:spPr>
            <a:solidFill>
              <a:schemeClr val="accent5">
                <a:lumMod val="75000"/>
              </a:schemeClr>
            </a:solidFill>
            <a:ln>
              <a:noFill/>
            </a:ln>
            <a:effectLst/>
          </c:spPr>
          <c:invertIfNegative val="0"/>
          <c:cat>
            <c:strRef>
              <c:f>Pivot_Backend!$A$9:$A$13</c:f>
              <c:strCache>
                <c:ptCount val="5"/>
                <c:pt idx="0">
                  <c:v>Anita</c:v>
                </c:pt>
                <c:pt idx="1">
                  <c:v>Kavya</c:v>
                </c:pt>
                <c:pt idx="2">
                  <c:v>Priya</c:v>
                </c:pt>
                <c:pt idx="3">
                  <c:v>Rahul</c:v>
                </c:pt>
                <c:pt idx="4">
                  <c:v>Suresh</c:v>
                </c:pt>
              </c:strCache>
            </c:strRef>
          </c:cat>
          <c:val>
            <c:numRef>
              <c:f>Pivot_Backend!$B$9:$B$13</c:f>
              <c:numCache>
                <c:formatCode>General</c:formatCode>
                <c:ptCount val="5"/>
                <c:pt idx="0">
                  <c:v>25</c:v>
                </c:pt>
                <c:pt idx="1">
                  <c:v>25</c:v>
                </c:pt>
                <c:pt idx="2">
                  <c:v>25</c:v>
                </c:pt>
                <c:pt idx="3">
                  <c:v>25</c:v>
                </c:pt>
                <c:pt idx="4">
                  <c:v>26</c:v>
                </c:pt>
              </c:numCache>
            </c:numRef>
          </c:val>
          <c:extLst>
            <c:ext xmlns:c16="http://schemas.microsoft.com/office/drawing/2014/chart" uri="{C3380CC4-5D6E-409C-BE32-E72D297353CC}">
              <c16:uniqueId val="{00000000-1534-49EC-8240-ACA5E698B0F6}"/>
            </c:ext>
          </c:extLst>
        </c:ser>
        <c:dLbls>
          <c:showLegendKey val="0"/>
          <c:showVal val="0"/>
          <c:showCatName val="0"/>
          <c:showSerName val="0"/>
          <c:showPercent val="0"/>
          <c:showBubbleSize val="0"/>
        </c:dLbls>
        <c:gapWidth val="182"/>
        <c:axId val="1802473552"/>
        <c:axId val="1802473072"/>
      </c:barChart>
      <c:catAx>
        <c:axId val="180247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73072"/>
        <c:crosses val="autoZero"/>
        <c:auto val="1"/>
        <c:lblAlgn val="ctr"/>
        <c:lblOffset val="100"/>
        <c:noMultiLvlLbl val="0"/>
      </c:catAx>
      <c:valAx>
        <c:axId val="180247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[BPO operations performance analysis.xlsx]Pivot_Backend!PivotTable5</c:name>
    <c:fmtId val="5"/>
  </c:pivotSource>
  <c:chart>
    <c:title>
      <c:tx>
        <c:rich>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r>
              <a:rPr lang="en-IN" sz="1800" b="1">
                <a:solidFill>
                  <a:schemeClr val="tx1">
                    <a:lumMod val="85000"/>
                    <a:lumOff val="15000"/>
                  </a:schemeClr>
                </a:solidFill>
              </a:rPr>
              <a:t>Impact of SLA on Customer Satisfaction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pivotFmt>
    </c:pivotFmts>
    <c:plotArea>
      <c:layout>
        <c:manualLayout>
          <c:layoutTarget val="inner"/>
          <c:xMode val="edge"/>
          <c:yMode val="edge"/>
          <c:x val="9.639546660350172E-2"/>
          <c:y val="0.17681541990208705"/>
          <c:w val="0.6029813566351131"/>
          <c:h val="0.73110165980870045"/>
        </c:manualLayout>
      </c:layout>
      <c:barChart>
        <c:barDir val="col"/>
        <c:grouping val="clustered"/>
        <c:varyColors val="0"/>
        <c:ser>
          <c:idx val="0"/>
          <c:order val="0"/>
          <c:tx>
            <c:strRef>
              <c:f>Pivot_Backend!$B$35</c:f>
              <c:strCache>
                <c:ptCount val="1"/>
                <c:pt idx="0">
                  <c:v>Total</c:v>
                </c:pt>
              </c:strCache>
            </c:strRef>
          </c:tx>
          <c:spPr>
            <a:solidFill>
              <a:schemeClr val="accent5">
                <a:lumMod val="75000"/>
              </a:schemeClr>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4E98-4423-986F-6F9248D5FB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Pivot_Backend!$A$36:$A$37</c:f>
              <c:strCache>
                <c:ptCount val="2"/>
                <c:pt idx="0">
                  <c:v>Met</c:v>
                </c:pt>
                <c:pt idx="1">
                  <c:v>Breached</c:v>
                </c:pt>
              </c:strCache>
            </c:strRef>
          </c:cat>
          <c:val>
            <c:numRef>
              <c:f>Pivot_Backend!$B$36:$B$37</c:f>
              <c:numCache>
                <c:formatCode>0.0</c:formatCode>
                <c:ptCount val="2"/>
                <c:pt idx="0">
                  <c:v>4.3368421052631581</c:v>
                </c:pt>
                <c:pt idx="1">
                  <c:v>2.418181818181818</c:v>
                </c:pt>
              </c:numCache>
            </c:numRef>
          </c:val>
          <c:extLst>
            <c:ext xmlns:c16="http://schemas.microsoft.com/office/drawing/2014/chart" uri="{C3380CC4-5D6E-409C-BE32-E72D297353CC}">
              <c16:uniqueId val="{00000000-0654-4EB4-9840-8EB50086AEAF}"/>
            </c:ext>
          </c:extLst>
        </c:ser>
        <c:dLbls>
          <c:dLblPos val="outEnd"/>
          <c:showLegendKey val="0"/>
          <c:showVal val="1"/>
          <c:showCatName val="0"/>
          <c:showSerName val="0"/>
          <c:showPercent val="0"/>
          <c:showBubbleSize val="0"/>
        </c:dLbls>
        <c:gapWidth val="219"/>
        <c:overlap val="-27"/>
        <c:axId val="1749988080"/>
        <c:axId val="1552106496"/>
      </c:barChart>
      <c:catAx>
        <c:axId val="17499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52106496"/>
        <c:crosses val="autoZero"/>
        <c:auto val="1"/>
        <c:lblAlgn val="ctr"/>
        <c:lblOffset val="100"/>
        <c:noMultiLvlLbl val="0"/>
      </c:catAx>
      <c:valAx>
        <c:axId val="1552106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CSAT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499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[BPO operations performance analysis.xlsx]Pivot_Backend!PivotTable7</c:name>
    <c:fmtId val="5"/>
  </c:pivotSource>
  <c:chart>
    <c:title>
      <c:tx>
        <c:rich>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r>
              <a:rPr lang="en-IN" sz="1800" b="1" i="0" u="none" strike="noStrike" baseline="0"/>
              <a:t>Monthly count of SLA-breached tickets</a:t>
            </a:r>
            <a:endParaRPr lang="en-US" sz="18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Pivot_Backend!$B$51</c:f>
              <c:strCache>
                <c:ptCount val="1"/>
                <c:pt idx="0">
                  <c:v>Total</c:v>
                </c:pt>
              </c:strCache>
            </c:strRef>
          </c:tx>
          <c:spPr>
            <a:ln w="28575" cap="rnd">
              <a:solidFill>
                <a:schemeClr val="accent1"/>
              </a:solidFill>
              <a:round/>
            </a:ln>
            <a:effectLst/>
          </c:spPr>
          <c:marker>
            <c:symbol val="none"/>
          </c:marker>
          <c:cat>
            <c:strRef>
              <c:f>Pivot_Backend!$A$52:$A$53</c:f>
              <c:strCache>
                <c:ptCount val="2"/>
                <c:pt idx="0">
                  <c:v>Jan</c:v>
                </c:pt>
                <c:pt idx="1">
                  <c:v>Feb</c:v>
                </c:pt>
              </c:strCache>
            </c:strRef>
          </c:cat>
          <c:val>
            <c:numRef>
              <c:f>Pivot_Backend!$B$52:$B$53</c:f>
              <c:numCache>
                <c:formatCode>General</c:formatCode>
                <c:ptCount val="2"/>
                <c:pt idx="0">
                  <c:v>94</c:v>
                </c:pt>
                <c:pt idx="1">
                  <c:v>56</c:v>
                </c:pt>
              </c:numCache>
            </c:numRef>
          </c:val>
          <c:smooth val="0"/>
          <c:extLst>
            <c:ext xmlns:c16="http://schemas.microsoft.com/office/drawing/2014/chart" uri="{C3380CC4-5D6E-409C-BE32-E72D297353CC}">
              <c16:uniqueId val="{00000000-1F46-484B-8C35-8A4A6E95DE18}"/>
            </c:ext>
          </c:extLst>
        </c:ser>
        <c:dLbls>
          <c:showLegendKey val="0"/>
          <c:showVal val="0"/>
          <c:showCatName val="0"/>
          <c:showSerName val="0"/>
          <c:showPercent val="0"/>
          <c:showBubbleSize val="0"/>
        </c:dLbls>
        <c:smooth val="0"/>
        <c:axId val="1802582992"/>
        <c:axId val="1802587792"/>
      </c:lineChart>
      <c:catAx>
        <c:axId val="1802582992"/>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87792"/>
        <c:crosses val="autoZero"/>
        <c:auto val="1"/>
        <c:lblAlgn val="ctr"/>
        <c:lblOffset val="120"/>
        <c:tickMarkSkip val="2"/>
        <c:noMultiLvlLbl val="0"/>
      </c:catAx>
      <c:valAx>
        <c:axId val="1802587792"/>
        <c:scaling>
          <c:orientation val="minMax"/>
        </c:scaling>
        <c:delete val="0"/>
        <c:axPos val="l"/>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8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r>
              <a:rPr lang="en-IN" sz="1600" b="1">
                <a:solidFill>
                  <a:schemeClr val="tx1">
                    <a:lumMod val="85000"/>
                    <a:lumOff val="15000"/>
                  </a:schemeClr>
                </a:solidFill>
              </a:rPr>
              <a:t>Agent Performance Ranking</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lumMod val="75000"/>
              </a:schemeClr>
            </a:solidFill>
            <a:ln>
              <a:noFill/>
            </a:ln>
            <a:effectLst/>
          </c:spPr>
          <c:invertIfNegative val="0"/>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3-CF27-4FEE-A86A-7C960709DD34}"/>
              </c:ext>
            </c:extLst>
          </c:dPt>
          <c:cat>
            <c:strRef>
              <c:f>Agent_KPI!$A$2:$A$7</c:f>
              <c:strCache>
                <c:ptCount val="6"/>
                <c:pt idx="0">
                  <c:v>Rohit</c:v>
                </c:pt>
                <c:pt idx="1">
                  <c:v>Priya</c:v>
                </c:pt>
                <c:pt idx="2">
                  <c:v>Rahul</c:v>
                </c:pt>
                <c:pt idx="3">
                  <c:v>Suresh</c:v>
                </c:pt>
                <c:pt idx="4">
                  <c:v>Kavya</c:v>
                </c:pt>
                <c:pt idx="5">
                  <c:v>Anita</c:v>
                </c:pt>
              </c:strCache>
            </c:strRef>
          </c:cat>
          <c:val>
            <c:numRef>
              <c:f>Agent_KPI!$M$2:$M$7</c:f>
              <c:numCache>
                <c:formatCode>0%</c:formatCode>
                <c:ptCount val="6"/>
                <c:pt idx="0">
                  <c:v>0.55128205128205132</c:v>
                </c:pt>
                <c:pt idx="1">
                  <c:v>0.60990769230769237</c:v>
                </c:pt>
                <c:pt idx="2">
                  <c:v>0.69790769230769234</c:v>
                </c:pt>
                <c:pt idx="3">
                  <c:v>0.72230769230769232</c:v>
                </c:pt>
                <c:pt idx="4">
                  <c:v>0.86110769230769224</c:v>
                </c:pt>
                <c:pt idx="5">
                  <c:v>0.98510769230769235</c:v>
                </c:pt>
              </c:numCache>
            </c:numRef>
          </c:val>
          <c:extLst>
            <c:ext xmlns:c16="http://schemas.microsoft.com/office/drawing/2014/chart" uri="{C3380CC4-5D6E-409C-BE32-E72D297353CC}">
              <c16:uniqueId val="{00000000-CF27-4FEE-A86A-7C960709DD34}"/>
            </c:ext>
          </c:extLst>
        </c:ser>
        <c:dLbls>
          <c:showLegendKey val="0"/>
          <c:showVal val="0"/>
          <c:showCatName val="0"/>
          <c:showSerName val="0"/>
          <c:showPercent val="0"/>
          <c:showBubbleSize val="0"/>
        </c:dLbls>
        <c:gapWidth val="182"/>
        <c:axId val="737202671"/>
        <c:axId val="737204591"/>
      </c:barChart>
      <c:catAx>
        <c:axId val="73720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04591"/>
        <c:crosses val="autoZero"/>
        <c:auto val="1"/>
        <c:lblAlgn val="ctr"/>
        <c:lblOffset val="100"/>
        <c:noMultiLvlLbl val="0"/>
      </c:catAx>
      <c:valAx>
        <c:axId val="73720459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Agent</a:t>
                </a:r>
                <a:r>
                  <a:rPr lang="en-IN" sz="1100" baseline="0"/>
                  <a:t> Performance Score</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0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r>
              <a:rPr lang="en-IN" sz="1600" b="1">
                <a:solidFill>
                  <a:schemeClr val="tx1">
                    <a:lumMod val="85000"/>
                    <a:lumOff val="15000"/>
                  </a:schemeClr>
                </a:solidFill>
              </a:rPr>
              <a:t>SLA Vs CSAT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5">
                  <a:lumMod val="75000"/>
                </a:schemeClr>
              </a:solidFill>
              <a:ln w="9525">
                <a:solidFill>
                  <a:schemeClr val="accent1"/>
                </a:solidFill>
              </a:ln>
              <a:effectLst/>
            </c:spPr>
          </c:marker>
          <c:xVal>
            <c:numRef>
              <c:f>Agent_KPI!$G$2:$G$7</c:f>
              <c:numCache>
                <c:formatCode>0.0</c:formatCode>
                <c:ptCount val="6"/>
                <c:pt idx="0">
                  <c:v>2.5</c:v>
                </c:pt>
                <c:pt idx="1">
                  <c:v>2.96</c:v>
                </c:pt>
                <c:pt idx="2">
                  <c:v>3.36</c:v>
                </c:pt>
                <c:pt idx="3">
                  <c:v>3.9615384615384617</c:v>
                </c:pt>
                <c:pt idx="4">
                  <c:v>4.08</c:v>
                </c:pt>
                <c:pt idx="5">
                  <c:v>4.88</c:v>
                </c:pt>
              </c:numCache>
            </c:numRef>
          </c:xVal>
          <c:yVal>
            <c:numRef>
              <c:f>Agent_KPI!$I$2:$I$7</c:f>
              <c:numCache>
                <c:formatCode>0%</c:formatCode>
                <c:ptCount val="6"/>
                <c:pt idx="0">
                  <c:v>0.41666666666666669</c:v>
                </c:pt>
                <c:pt idx="1">
                  <c:v>0.48</c:v>
                </c:pt>
                <c:pt idx="2">
                  <c:v>0.6</c:v>
                </c:pt>
                <c:pt idx="3">
                  <c:v>0.46153846153846156</c:v>
                </c:pt>
                <c:pt idx="4">
                  <c:v>0.84</c:v>
                </c:pt>
                <c:pt idx="5">
                  <c:v>1</c:v>
                </c:pt>
              </c:numCache>
            </c:numRef>
          </c:yVal>
          <c:smooth val="1"/>
          <c:extLst>
            <c:ext xmlns:c16="http://schemas.microsoft.com/office/drawing/2014/chart" uri="{C3380CC4-5D6E-409C-BE32-E72D297353CC}">
              <c16:uniqueId val="{00000000-C272-400D-844C-B05D05037338}"/>
            </c:ext>
          </c:extLst>
        </c:ser>
        <c:dLbls>
          <c:showLegendKey val="0"/>
          <c:showVal val="0"/>
          <c:showCatName val="0"/>
          <c:showSerName val="0"/>
          <c:showPercent val="0"/>
          <c:showBubbleSize val="0"/>
        </c:dLbls>
        <c:axId val="644158223"/>
        <c:axId val="737204111"/>
      </c:scatterChart>
      <c:valAx>
        <c:axId val="644158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CSAT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04111"/>
        <c:crosses val="autoZero"/>
        <c:crossBetween val="midCat"/>
      </c:valAx>
      <c:valAx>
        <c:axId val="737204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SLA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8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r>
              <a:rPr lang="en-IN" sz="1600" b="1">
                <a:solidFill>
                  <a:schemeClr val="tx1">
                    <a:lumMod val="85000"/>
                    <a:lumOff val="15000"/>
                  </a:schemeClr>
                </a:solidFill>
              </a:rPr>
              <a:t>Reopen Rate By Agent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1-8E8E-40DB-B36B-2D24AD74BCC2}"/>
              </c:ext>
            </c:extLst>
          </c:dPt>
          <c:cat>
            <c:strRef>
              <c:f>Agent_KPI!$A$2:$A$7</c:f>
              <c:strCache>
                <c:ptCount val="6"/>
                <c:pt idx="0">
                  <c:v>Rohit</c:v>
                </c:pt>
                <c:pt idx="1">
                  <c:v>Priya</c:v>
                </c:pt>
                <c:pt idx="2">
                  <c:v>Rahul</c:v>
                </c:pt>
                <c:pt idx="3">
                  <c:v>Suresh</c:v>
                </c:pt>
                <c:pt idx="4">
                  <c:v>Kavya</c:v>
                </c:pt>
                <c:pt idx="5">
                  <c:v>Anita</c:v>
                </c:pt>
              </c:strCache>
            </c:strRef>
          </c:cat>
          <c:val>
            <c:numRef>
              <c:f>Agent_KPI!$L$2:$L$7</c:f>
              <c:numCache>
                <c:formatCode>0%</c:formatCode>
                <c:ptCount val="6"/>
                <c:pt idx="0">
                  <c:v>0.5</c:v>
                </c:pt>
                <c:pt idx="1">
                  <c:v>0.48</c:v>
                </c:pt>
                <c:pt idx="2">
                  <c:v>0.64</c:v>
                </c:pt>
                <c:pt idx="3">
                  <c:v>1</c:v>
                </c:pt>
                <c:pt idx="4">
                  <c:v>0.88</c:v>
                </c:pt>
                <c:pt idx="5">
                  <c:v>1</c:v>
                </c:pt>
              </c:numCache>
            </c:numRef>
          </c:val>
          <c:extLst>
            <c:ext xmlns:c16="http://schemas.microsoft.com/office/drawing/2014/chart" uri="{C3380CC4-5D6E-409C-BE32-E72D297353CC}">
              <c16:uniqueId val="{00000000-8E8E-40DB-B36B-2D24AD74BCC2}"/>
            </c:ext>
          </c:extLst>
        </c:ser>
        <c:dLbls>
          <c:showLegendKey val="0"/>
          <c:showVal val="0"/>
          <c:showCatName val="0"/>
          <c:showSerName val="0"/>
          <c:showPercent val="0"/>
          <c:showBubbleSize val="0"/>
        </c:dLbls>
        <c:gapWidth val="182"/>
        <c:axId val="863903199"/>
        <c:axId val="863905119"/>
      </c:barChart>
      <c:catAx>
        <c:axId val="86390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05119"/>
        <c:crosses val="autoZero"/>
        <c:auto val="1"/>
        <c:lblAlgn val="ctr"/>
        <c:lblOffset val="100"/>
        <c:noMultiLvlLbl val="0"/>
      </c:catAx>
      <c:valAx>
        <c:axId val="86390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Reopen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0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606709</xdr:colOff>
      <xdr:row>1</xdr:row>
      <xdr:rowOff>4730</xdr:rowOff>
    </xdr:from>
    <xdr:to>
      <xdr:col>5</xdr:col>
      <xdr:colOff>591469</xdr:colOff>
      <xdr:row>6</xdr:row>
      <xdr:rowOff>4730</xdr:rowOff>
    </xdr:to>
    <xdr:grpSp>
      <xdr:nvGrpSpPr>
        <xdr:cNvPr id="26" name="Group 25">
          <a:extLst>
            <a:ext uri="{FF2B5EF4-FFF2-40B4-BE49-F238E27FC236}">
              <a16:creationId xmlns:a16="http://schemas.microsoft.com/office/drawing/2014/main" id="{D94ADE09-556F-29DC-E749-DDADE536E19D}"/>
            </a:ext>
          </a:extLst>
        </xdr:cNvPr>
        <xdr:cNvGrpSpPr/>
      </xdr:nvGrpSpPr>
      <xdr:grpSpPr>
        <a:xfrm>
          <a:off x="1216309" y="184839"/>
          <a:ext cx="2423160" cy="900546"/>
          <a:chOff x="1216309" y="187610"/>
          <a:chExt cx="2423160" cy="914400"/>
        </a:xfrm>
        <a:solidFill>
          <a:schemeClr val="bg1"/>
        </a:solidFill>
        <a:effectLst>
          <a:outerShdw blurRad="63500" sx="102000" sy="102000" algn="ctr" rotWithShape="0">
            <a:prstClr val="black">
              <a:alpha val="40000"/>
            </a:prstClr>
          </a:outerShdw>
        </a:effectLst>
      </xdr:grpSpPr>
      <xdr:sp macro="" textlink="SLA_Analysis_Dashboard_Source!A2">
        <xdr:nvSpPr>
          <xdr:cNvPr id="2" name="Rectangle: Rounded Corners 1">
            <a:extLst>
              <a:ext uri="{FF2B5EF4-FFF2-40B4-BE49-F238E27FC236}">
                <a16:creationId xmlns:a16="http://schemas.microsoft.com/office/drawing/2014/main" id="{A23F2BA0-3175-4995-235B-14DC58CD8CC4}"/>
              </a:ext>
            </a:extLst>
          </xdr:cNvPr>
          <xdr:cNvSpPr/>
        </xdr:nvSpPr>
        <xdr:spPr>
          <a:xfrm>
            <a:off x="1216309" y="187610"/>
            <a:ext cx="2423160" cy="914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1CE0AB-B050-4716-ADD3-53680C74181D}" type="TxLink">
              <a:rPr lang="en-US" sz="2800" b="0" i="0" u="none" strike="noStrike">
                <a:solidFill>
                  <a:schemeClr val="accent5">
                    <a:lumMod val="75000"/>
                  </a:schemeClr>
                </a:solidFill>
                <a:latin typeface="Franklin Gothic Demi Cond" panose="020B0706030402020204" pitchFamily="34" charset="0"/>
                <a:ea typeface="Calibri"/>
                <a:cs typeface="Calibri"/>
              </a:rPr>
              <a:pPr algn="ctr"/>
              <a:t>150</a:t>
            </a:fld>
            <a:endParaRPr lang="en-IN" sz="2800">
              <a:solidFill>
                <a:schemeClr val="accent5">
                  <a:lumMod val="75000"/>
                </a:schemeClr>
              </a:solidFill>
              <a:latin typeface="Franklin Gothic Demi Cond" panose="020B0706030402020204" pitchFamily="34" charset="0"/>
            </a:endParaRPr>
          </a:p>
        </xdr:txBody>
      </xdr:sp>
      <xdr:sp macro="" textlink="SLA_Analysis_Dashboard_Source!A1">
        <xdr:nvSpPr>
          <xdr:cNvPr id="21" name="Rectangle: Rounded Corners 20">
            <a:extLst>
              <a:ext uri="{FF2B5EF4-FFF2-40B4-BE49-F238E27FC236}">
                <a16:creationId xmlns:a16="http://schemas.microsoft.com/office/drawing/2014/main" id="{D4A1C8A7-70FC-5196-E52A-4571554EF8AF}"/>
              </a:ext>
            </a:extLst>
          </xdr:cNvPr>
          <xdr:cNvSpPr/>
        </xdr:nvSpPr>
        <xdr:spPr>
          <a:xfrm>
            <a:off x="1828800" y="759072"/>
            <a:ext cx="1219200" cy="24384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A0DDBA-B464-46EA-91CA-875BB9622EB9}" type="TxLink">
              <a:rPr lang="en-US" sz="1100" b="1" i="0" u="none" strike="noStrike">
                <a:solidFill>
                  <a:srgbClr val="000000"/>
                </a:solidFill>
                <a:latin typeface="Calibri"/>
                <a:ea typeface="Calibri"/>
                <a:cs typeface="Calibri"/>
              </a:rPr>
              <a:pPr algn="ctr"/>
              <a:t>Total Tickets</a:t>
            </a:fld>
            <a:endParaRPr lang="en-IN" sz="1100">
              <a:solidFill>
                <a:schemeClr val="tx1"/>
              </a:solidFill>
            </a:endParaRPr>
          </a:p>
        </xdr:txBody>
      </xdr:sp>
    </xdr:grpSp>
    <xdr:clientData/>
  </xdr:twoCellAnchor>
  <xdr:twoCellAnchor>
    <xdr:from>
      <xdr:col>7</xdr:col>
      <xdr:colOff>0</xdr:colOff>
      <xdr:row>1</xdr:row>
      <xdr:rowOff>620</xdr:rowOff>
    </xdr:from>
    <xdr:to>
      <xdr:col>10</xdr:col>
      <xdr:colOff>594360</xdr:colOff>
      <xdr:row>6</xdr:row>
      <xdr:rowOff>620</xdr:rowOff>
    </xdr:to>
    <xdr:grpSp>
      <xdr:nvGrpSpPr>
        <xdr:cNvPr id="27" name="Group 26">
          <a:extLst>
            <a:ext uri="{FF2B5EF4-FFF2-40B4-BE49-F238E27FC236}">
              <a16:creationId xmlns:a16="http://schemas.microsoft.com/office/drawing/2014/main" id="{27DF9009-7053-45FE-AA27-764349281ACE}"/>
            </a:ext>
          </a:extLst>
        </xdr:cNvPr>
        <xdr:cNvGrpSpPr/>
      </xdr:nvGrpSpPr>
      <xdr:grpSpPr>
        <a:xfrm>
          <a:off x="4267200" y="180729"/>
          <a:ext cx="2423160" cy="900546"/>
          <a:chOff x="1216309" y="187610"/>
          <a:chExt cx="2423160" cy="914400"/>
        </a:xfrm>
        <a:solidFill>
          <a:schemeClr val="bg1"/>
        </a:solidFill>
        <a:effectLst>
          <a:outerShdw blurRad="63500" sx="102000" sy="102000" algn="ctr" rotWithShape="0">
            <a:prstClr val="black">
              <a:alpha val="40000"/>
            </a:prstClr>
          </a:outerShdw>
        </a:effectLst>
      </xdr:grpSpPr>
      <xdr:sp macro="" textlink="SLA_Analysis_Dashboard_Source!B2">
        <xdr:nvSpPr>
          <xdr:cNvPr id="28" name="Rectangle: Rounded Corners 27">
            <a:extLst>
              <a:ext uri="{FF2B5EF4-FFF2-40B4-BE49-F238E27FC236}">
                <a16:creationId xmlns:a16="http://schemas.microsoft.com/office/drawing/2014/main" id="{B7B36108-530E-9E8C-B4FE-4EAC78CCD019}"/>
              </a:ext>
            </a:extLst>
          </xdr:cNvPr>
          <xdr:cNvSpPr/>
        </xdr:nvSpPr>
        <xdr:spPr>
          <a:xfrm>
            <a:off x="1216309" y="187610"/>
            <a:ext cx="2423160" cy="914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85A558-F66F-4CAC-91F3-462D5D8E5438}" type="TxLink">
              <a:rPr lang="en-US" sz="2800" b="0" i="0" u="none" strike="noStrike">
                <a:solidFill>
                  <a:schemeClr val="accent5">
                    <a:lumMod val="75000"/>
                  </a:schemeClr>
                </a:solidFill>
                <a:latin typeface="Franklin Gothic Demi Cond" panose="020B0706030402020204" pitchFamily="34" charset="0"/>
                <a:ea typeface="Calibri"/>
                <a:cs typeface="Calibri"/>
              </a:rPr>
              <a:pPr algn="ctr"/>
              <a:t>63%</a:t>
            </a:fld>
            <a:endParaRPr lang="en-IN" sz="2800">
              <a:solidFill>
                <a:schemeClr val="accent5">
                  <a:lumMod val="75000"/>
                </a:schemeClr>
              </a:solidFill>
              <a:latin typeface="Franklin Gothic Demi Cond" panose="020B0706030402020204" pitchFamily="34" charset="0"/>
            </a:endParaRPr>
          </a:p>
        </xdr:txBody>
      </xdr:sp>
      <xdr:sp macro="" textlink="SLA_Analysis_Dashboard_Source!B1">
        <xdr:nvSpPr>
          <xdr:cNvPr id="29" name="Rectangle: Rounded Corners 28">
            <a:extLst>
              <a:ext uri="{FF2B5EF4-FFF2-40B4-BE49-F238E27FC236}">
                <a16:creationId xmlns:a16="http://schemas.microsoft.com/office/drawing/2014/main" id="{4D2B939B-0843-65AF-5800-892102E7B00A}"/>
              </a:ext>
            </a:extLst>
          </xdr:cNvPr>
          <xdr:cNvSpPr/>
        </xdr:nvSpPr>
        <xdr:spPr>
          <a:xfrm>
            <a:off x="1522555" y="759072"/>
            <a:ext cx="1810669" cy="24384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DFF628-5323-48FD-B388-FF72D7115F54}" type="TxLink">
              <a:rPr lang="en-US" sz="1100" b="1" i="0" u="none" strike="noStrike">
                <a:solidFill>
                  <a:srgbClr val="000000"/>
                </a:solidFill>
                <a:latin typeface="Calibri"/>
                <a:ea typeface="Calibri"/>
                <a:cs typeface="Calibri"/>
              </a:rPr>
              <a:pPr algn="ctr"/>
              <a:t>SLA Compliance %</a:t>
            </a:fld>
            <a:endParaRPr lang="en-IN" sz="1100">
              <a:solidFill>
                <a:schemeClr val="tx1"/>
              </a:solidFill>
            </a:endParaRPr>
          </a:p>
        </xdr:txBody>
      </xdr:sp>
    </xdr:grpSp>
    <xdr:clientData/>
  </xdr:twoCellAnchor>
  <xdr:twoCellAnchor>
    <xdr:from>
      <xdr:col>12</xdr:col>
      <xdr:colOff>15240</xdr:colOff>
      <xdr:row>1</xdr:row>
      <xdr:rowOff>620</xdr:rowOff>
    </xdr:from>
    <xdr:to>
      <xdr:col>16</xdr:col>
      <xdr:colOff>0</xdr:colOff>
      <xdr:row>6</xdr:row>
      <xdr:rowOff>620</xdr:rowOff>
    </xdr:to>
    <xdr:grpSp>
      <xdr:nvGrpSpPr>
        <xdr:cNvPr id="30" name="Group 29">
          <a:extLst>
            <a:ext uri="{FF2B5EF4-FFF2-40B4-BE49-F238E27FC236}">
              <a16:creationId xmlns:a16="http://schemas.microsoft.com/office/drawing/2014/main" id="{1E0844C2-D9DA-4DE2-AAE0-A4BDFDE7DF36}"/>
            </a:ext>
          </a:extLst>
        </xdr:cNvPr>
        <xdr:cNvGrpSpPr/>
      </xdr:nvGrpSpPr>
      <xdr:grpSpPr>
        <a:xfrm>
          <a:off x="7330440" y="180729"/>
          <a:ext cx="2423160" cy="900546"/>
          <a:chOff x="1216309" y="187610"/>
          <a:chExt cx="2423160" cy="914400"/>
        </a:xfrm>
        <a:solidFill>
          <a:schemeClr val="bg1"/>
        </a:solidFill>
        <a:effectLst>
          <a:outerShdw blurRad="63500" sx="102000" sy="102000" algn="ctr" rotWithShape="0">
            <a:prstClr val="black">
              <a:alpha val="40000"/>
            </a:prstClr>
          </a:outerShdw>
        </a:effectLst>
      </xdr:grpSpPr>
      <xdr:sp macro="" textlink="SLA_Analysis_Dashboard_Source!C2">
        <xdr:nvSpPr>
          <xdr:cNvPr id="31" name="Rectangle: Rounded Corners 30">
            <a:extLst>
              <a:ext uri="{FF2B5EF4-FFF2-40B4-BE49-F238E27FC236}">
                <a16:creationId xmlns:a16="http://schemas.microsoft.com/office/drawing/2014/main" id="{2304AE8A-2D28-D480-58AE-8166D201D6E3}"/>
              </a:ext>
            </a:extLst>
          </xdr:cNvPr>
          <xdr:cNvSpPr/>
        </xdr:nvSpPr>
        <xdr:spPr>
          <a:xfrm>
            <a:off x="1216309" y="187610"/>
            <a:ext cx="2423160" cy="914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6AEE9F-4E11-484B-81A0-245FC9A5FFE0}" type="TxLink">
              <a:rPr lang="en-US" sz="2800" b="0" i="0" u="none" strike="noStrike">
                <a:solidFill>
                  <a:schemeClr val="accent5">
                    <a:lumMod val="75000"/>
                  </a:schemeClr>
                </a:solidFill>
                <a:latin typeface="Franklin Gothic Demi Cond" panose="020B0706030402020204" pitchFamily="34" charset="0"/>
                <a:ea typeface="Calibri"/>
                <a:cs typeface="Calibri"/>
              </a:rPr>
              <a:pPr algn="ctr"/>
              <a:t>48</a:t>
            </a:fld>
            <a:endParaRPr lang="en-IN" sz="2800">
              <a:solidFill>
                <a:schemeClr val="accent5">
                  <a:lumMod val="75000"/>
                </a:schemeClr>
              </a:solidFill>
              <a:latin typeface="Franklin Gothic Demi Cond" panose="020B0706030402020204" pitchFamily="34" charset="0"/>
            </a:endParaRPr>
          </a:p>
        </xdr:txBody>
      </xdr:sp>
      <xdr:sp macro="" textlink="SLA_Analysis_Dashboard_Source!C1">
        <xdr:nvSpPr>
          <xdr:cNvPr id="32" name="Rectangle: Rounded Corners 31">
            <a:extLst>
              <a:ext uri="{FF2B5EF4-FFF2-40B4-BE49-F238E27FC236}">
                <a16:creationId xmlns:a16="http://schemas.microsoft.com/office/drawing/2014/main" id="{A2BCD59A-82DE-27EC-76FB-85522A54122A}"/>
              </a:ext>
            </a:extLst>
          </xdr:cNvPr>
          <xdr:cNvSpPr/>
        </xdr:nvSpPr>
        <xdr:spPr>
          <a:xfrm>
            <a:off x="1522555" y="759072"/>
            <a:ext cx="1810669" cy="24384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EF1BF8-9327-46C7-8B62-DFA85E98C68E}" type="TxLink">
              <a:rPr lang="en-US" sz="1100" b="1" i="0" u="none" strike="noStrike">
                <a:solidFill>
                  <a:srgbClr val="000000"/>
                </a:solidFill>
                <a:latin typeface="Calibri"/>
                <a:ea typeface="Calibri"/>
                <a:cs typeface="Calibri"/>
              </a:rPr>
              <a:pPr algn="ctr"/>
              <a:t>Average Resolution Time</a:t>
            </a:fld>
            <a:endParaRPr lang="en-IN" sz="1100">
              <a:solidFill>
                <a:schemeClr val="tx1"/>
              </a:solidFill>
            </a:endParaRPr>
          </a:p>
        </xdr:txBody>
      </xdr:sp>
    </xdr:grpSp>
    <xdr:clientData/>
  </xdr:twoCellAnchor>
  <xdr:twoCellAnchor>
    <xdr:from>
      <xdr:col>17</xdr:col>
      <xdr:colOff>18131</xdr:colOff>
      <xdr:row>0</xdr:row>
      <xdr:rowOff>172218</xdr:rowOff>
    </xdr:from>
    <xdr:to>
      <xdr:col>21</xdr:col>
      <xdr:colOff>2891</xdr:colOff>
      <xdr:row>5</xdr:row>
      <xdr:rowOff>172218</xdr:rowOff>
    </xdr:to>
    <xdr:grpSp>
      <xdr:nvGrpSpPr>
        <xdr:cNvPr id="33" name="Group 32">
          <a:extLst>
            <a:ext uri="{FF2B5EF4-FFF2-40B4-BE49-F238E27FC236}">
              <a16:creationId xmlns:a16="http://schemas.microsoft.com/office/drawing/2014/main" id="{642DF75C-29EE-49E8-A887-7A8E4A5B0BDB}"/>
            </a:ext>
          </a:extLst>
        </xdr:cNvPr>
        <xdr:cNvGrpSpPr/>
      </xdr:nvGrpSpPr>
      <xdr:grpSpPr>
        <a:xfrm>
          <a:off x="10381331" y="172218"/>
          <a:ext cx="2423160" cy="900545"/>
          <a:chOff x="1216309" y="187610"/>
          <a:chExt cx="2423160" cy="914400"/>
        </a:xfrm>
        <a:solidFill>
          <a:schemeClr val="bg1"/>
        </a:solidFill>
        <a:effectLst>
          <a:outerShdw blurRad="63500" sx="102000" sy="102000" algn="ctr" rotWithShape="0">
            <a:prstClr val="black">
              <a:alpha val="40000"/>
            </a:prstClr>
          </a:outerShdw>
        </a:effectLst>
      </xdr:grpSpPr>
      <xdr:sp macro="" textlink="SLA_Analysis_Dashboard_Source!D2">
        <xdr:nvSpPr>
          <xdr:cNvPr id="34" name="Rectangle: Rounded Corners 33">
            <a:extLst>
              <a:ext uri="{FF2B5EF4-FFF2-40B4-BE49-F238E27FC236}">
                <a16:creationId xmlns:a16="http://schemas.microsoft.com/office/drawing/2014/main" id="{1BB04B44-EA43-39C6-A998-07107B3487D0}"/>
              </a:ext>
            </a:extLst>
          </xdr:cNvPr>
          <xdr:cNvSpPr/>
        </xdr:nvSpPr>
        <xdr:spPr>
          <a:xfrm>
            <a:off x="1216309" y="187610"/>
            <a:ext cx="2423160" cy="914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F111F8-79F7-4BD2-8E46-4C8C580A008A}" type="TxLink">
              <a:rPr lang="en-US" sz="2800" b="0" i="0" u="none" strike="noStrike">
                <a:solidFill>
                  <a:schemeClr val="accent5">
                    <a:lumMod val="75000"/>
                  </a:schemeClr>
                </a:solidFill>
                <a:latin typeface="Franklin Gothic Demi Cond" panose="020B0706030402020204" pitchFamily="34" charset="0"/>
                <a:ea typeface="Calibri"/>
                <a:cs typeface="Calibri"/>
              </a:rPr>
              <a:pPr algn="ctr"/>
              <a:t>3.6</a:t>
            </a:fld>
            <a:endParaRPr lang="en-IN" sz="2800">
              <a:solidFill>
                <a:schemeClr val="accent5">
                  <a:lumMod val="75000"/>
                </a:schemeClr>
              </a:solidFill>
              <a:latin typeface="Franklin Gothic Demi Cond" panose="020B0706030402020204" pitchFamily="34" charset="0"/>
            </a:endParaRPr>
          </a:p>
        </xdr:txBody>
      </xdr:sp>
      <xdr:sp macro="" textlink="SLA_Analysis_Dashboard_Source!D1">
        <xdr:nvSpPr>
          <xdr:cNvPr id="35" name="Rectangle: Rounded Corners 34">
            <a:extLst>
              <a:ext uri="{FF2B5EF4-FFF2-40B4-BE49-F238E27FC236}">
                <a16:creationId xmlns:a16="http://schemas.microsoft.com/office/drawing/2014/main" id="{1B858E21-61C7-B2B0-8B46-FF3D6C62EB50}"/>
              </a:ext>
            </a:extLst>
          </xdr:cNvPr>
          <xdr:cNvSpPr/>
        </xdr:nvSpPr>
        <xdr:spPr>
          <a:xfrm>
            <a:off x="1524000" y="759072"/>
            <a:ext cx="1807778" cy="24384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5E0E5A-AD81-4639-95CC-AA0E3E02D835}" type="TxLink">
              <a:rPr lang="en-US" sz="1100" b="1" i="0" u="none" strike="noStrike">
                <a:solidFill>
                  <a:srgbClr val="000000"/>
                </a:solidFill>
                <a:latin typeface="Calibri"/>
                <a:ea typeface="Calibri"/>
                <a:cs typeface="Calibri"/>
              </a:rPr>
              <a:pPr algn="ctr"/>
              <a:t>Average CSAT Score</a:t>
            </a:fld>
            <a:endParaRPr lang="en-IN" sz="1100">
              <a:solidFill>
                <a:schemeClr val="tx1"/>
              </a:solidFill>
            </a:endParaRPr>
          </a:p>
        </xdr:txBody>
      </xdr:sp>
    </xdr:grpSp>
    <xdr:clientData/>
  </xdr:twoCellAnchor>
  <xdr:twoCellAnchor>
    <xdr:from>
      <xdr:col>1</xdr:col>
      <xdr:colOff>466164</xdr:colOff>
      <xdr:row>9</xdr:row>
      <xdr:rowOff>0</xdr:rowOff>
    </xdr:from>
    <xdr:to>
      <xdr:col>10</xdr:col>
      <xdr:colOff>206188</xdr:colOff>
      <xdr:row>26</xdr:row>
      <xdr:rowOff>0</xdr:rowOff>
    </xdr:to>
    <xdr:graphicFrame macro="">
      <xdr:nvGraphicFramePr>
        <xdr:cNvPr id="40" name="Chart 39">
          <a:extLst>
            <a:ext uri="{FF2B5EF4-FFF2-40B4-BE49-F238E27FC236}">
              <a16:creationId xmlns:a16="http://schemas.microsoft.com/office/drawing/2014/main" id="{748A8FC4-0F32-434C-98BE-BB0A81A04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89647</xdr:colOff>
      <xdr:row>9</xdr:row>
      <xdr:rowOff>7621</xdr:rowOff>
    </xdr:from>
    <xdr:to>
      <xdr:col>19</xdr:col>
      <xdr:colOff>89647</xdr:colOff>
      <xdr:row>26</xdr:row>
      <xdr:rowOff>7621</xdr:rowOff>
    </xdr:to>
    <xdr:graphicFrame macro="">
      <xdr:nvGraphicFramePr>
        <xdr:cNvPr id="41" name="Chart 40">
          <a:extLst>
            <a:ext uri="{FF2B5EF4-FFF2-40B4-BE49-F238E27FC236}">
              <a16:creationId xmlns:a16="http://schemas.microsoft.com/office/drawing/2014/main" id="{6F47C1CC-6193-40D5-962F-383CC3429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606709</xdr:colOff>
      <xdr:row>29</xdr:row>
      <xdr:rowOff>1</xdr:rowOff>
    </xdr:from>
    <xdr:to>
      <xdr:col>10</xdr:col>
      <xdr:colOff>203297</xdr:colOff>
      <xdr:row>47</xdr:row>
      <xdr:rowOff>0</xdr:rowOff>
    </xdr:to>
    <xdr:graphicFrame macro="">
      <xdr:nvGraphicFramePr>
        <xdr:cNvPr id="42" name="Chart 41">
          <a:extLst>
            <a:ext uri="{FF2B5EF4-FFF2-40B4-BE49-F238E27FC236}">
              <a16:creationId xmlns:a16="http://schemas.microsoft.com/office/drawing/2014/main" id="{79E409D3-449F-44A7-8262-619D44FA6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607807</xdr:colOff>
      <xdr:row>29</xdr:row>
      <xdr:rowOff>1</xdr:rowOff>
    </xdr:from>
    <xdr:to>
      <xdr:col>19</xdr:col>
      <xdr:colOff>607807</xdr:colOff>
      <xdr:row>47</xdr:row>
      <xdr:rowOff>0</xdr:rowOff>
    </xdr:to>
    <xdr:graphicFrame macro="">
      <xdr:nvGraphicFramePr>
        <xdr:cNvPr id="43" name="Chart 42">
          <a:extLst>
            <a:ext uri="{FF2B5EF4-FFF2-40B4-BE49-F238E27FC236}">
              <a16:creationId xmlns:a16="http://schemas.microsoft.com/office/drawing/2014/main" id="{CEB41B76-65D9-4B24-B517-45698D515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347353</xdr:colOff>
      <xdr:row>6</xdr:row>
      <xdr:rowOff>72240</xdr:rowOff>
    </xdr:from>
    <xdr:to>
      <xdr:col>27</xdr:col>
      <xdr:colOff>347353</xdr:colOff>
      <xdr:row>16</xdr:row>
      <xdr:rowOff>71150</xdr:rowOff>
    </xdr:to>
    <mc:AlternateContent xmlns:mc="http://schemas.openxmlformats.org/markup-compatibility/2006" xmlns:a14="http://schemas.microsoft.com/office/drawing/2010/main">
      <mc:Choice Requires="a14">
        <xdr:graphicFrame macro="">
          <xdr:nvGraphicFramePr>
            <xdr:cNvPr id="44" name="Process">
              <a:extLst>
                <a:ext uri="{FF2B5EF4-FFF2-40B4-BE49-F238E27FC236}">
                  <a16:creationId xmlns:a16="http://schemas.microsoft.com/office/drawing/2014/main" id="{6B73811A-EA83-4A6A-9701-3BCC9C60E8C6}"/>
                </a:ext>
              </a:extLst>
            </xdr:cNvPr>
            <xdr:cNvGraphicFramePr/>
          </xdr:nvGraphicFramePr>
          <xdr:xfrm>
            <a:off x="0" y="0"/>
            <a:ext cx="0" cy="0"/>
          </xdr:xfrm>
          <a:graphic>
            <a:graphicData uri="http://schemas.microsoft.com/office/drawing/2010/slicer">
              <sle:slicer xmlns:sle="http://schemas.microsoft.com/office/drawing/2010/slicer" name="Process"/>
            </a:graphicData>
          </a:graphic>
        </xdr:graphicFrame>
      </mc:Choice>
      <mc:Fallback xmlns="">
        <xdr:sp macro="" textlink="">
          <xdr:nvSpPr>
            <xdr:cNvPr id="0" name=""/>
            <xdr:cNvSpPr>
              <a:spLocks noTextEdit="1"/>
            </xdr:cNvSpPr>
          </xdr:nvSpPr>
          <xdr:spPr>
            <a:xfrm>
              <a:off x="14977753" y="1152895"/>
              <a:ext cx="18288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19151</xdr:colOff>
      <xdr:row>6</xdr:row>
      <xdr:rowOff>75171</xdr:rowOff>
    </xdr:from>
    <xdr:to>
      <xdr:col>31</xdr:col>
      <xdr:colOff>19151</xdr:colOff>
      <xdr:row>16</xdr:row>
      <xdr:rowOff>74081</xdr:rowOff>
    </xdr:to>
    <mc:AlternateContent xmlns:mc="http://schemas.openxmlformats.org/markup-compatibility/2006" xmlns:a14="http://schemas.microsoft.com/office/drawing/2010/main">
      <mc:Choice Requires="a14">
        <xdr:graphicFrame macro="">
          <xdr:nvGraphicFramePr>
            <xdr:cNvPr id="45" name="Channel">
              <a:extLst>
                <a:ext uri="{FF2B5EF4-FFF2-40B4-BE49-F238E27FC236}">
                  <a16:creationId xmlns:a16="http://schemas.microsoft.com/office/drawing/2014/main" id="{D59C39E7-2D92-48F9-8144-3F1A8F41CAC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087951" y="1155826"/>
              <a:ext cx="18288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355970</xdr:colOff>
      <xdr:row>17</xdr:row>
      <xdr:rowOff>102854</xdr:rowOff>
    </xdr:from>
    <xdr:to>
      <xdr:col>27</xdr:col>
      <xdr:colOff>355970</xdr:colOff>
      <xdr:row>27</xdr:row>
      <xdr:rowOff>101764</xdr:rowOff>
    </xdr:to>
    <mc:AlternateContent xmlns:mc="http://schemas.openxmlformats.org/markup-compatibility/2006" xmlns:a14="http://schemas.microsoft.com/office/drawing/2010/main">
      <mc:Choice Requires="a14">
        <xdr:graphicFrame macro="">
          <xdr:nvGraphicFramePr>
            <xdr:cNvPr id="46" name="Priority">
              <a:extLst>
                <a:ext uri="{FF2B5EF4-FFF2-40B4-BE49-F238E27FC236}">
                  <a16:creationId xmlns:a16="http://schemas.microsoft.com/office/drawing/2014/main" id="{B0D9CB96-749B-498B-9FC3-BAB251B977BC}"/>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4986370" y="3164709"/>
              <a:ext cx="18288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76200</xdr:rowOff>
    </xdr:from>
    <xdr:to>
      <xdr:col>0</xdr:col>
      <xdr:colOff>411480</xdr:colOff>
      <xdr:row>1</xdr:row>
      <xdr:rowOff>0</xdr:rowOff>
    </xdr:to>
    <xdr:pic>
      <xdr:nvPicPr>
        <xdr:cNvPr id="3" name="Graphic 2" descr="Clipboard with solid fill">
          <a:extLst>
            <a:ext uri="{FF2B5EF4-FFF2-40B4-BE49-F238E27FC236}">
              <a16:creationId xmlns:a16="http://schemas.microsoft.com/office/drawing/2014/main" id="{65F84350-1826-7E44-15A0-B5D7944770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76200"/>
          <a:ext cx="411480" cy="413084"/>
        </a:xfrm>
        <a:prstGeom prst="rect">
          <a:avLst/>
        </a:prstGeom>
      </xdr:spPr>
    </xdr:pic>
    <xdr:clientData/>
  </xdr:twoCellAnchor>
  <xdr:twoCellAnchor>
    <xdr:from>
      <xdr:col>0</xdr:col>
      <xdr:colOff>1691268</xdr:colOff>
      <xdr:row>0</xdr:row>
      <xdr:rowOff>76200</xdr:rowOff>
    </xdr:from>
    <xdr:to>
      <xdr:col>1</xdr:col>
      <xdr:colOff>411480</xdr:colOff>
      <xdr:row>1</xdr:row>
      <xdr:rowOff>0</xdr:rowOff>
    </xdr:to>
    <xdr:pic>
      <xdr:nvPicPr>
        <xdr:cNvPr id="5" name="Graphic 4" descr="Ribbon with solid fill">
          <a:extLst>
            <a:ext uri="{FF2B5EF4-FFF2-40B4-BE49-F238E27FC236}">
              <a16:creationId xmlns:a16="http://schemas.microsoft.com/office/drawing/2014/main" id="{F6C291F3-BD3A-8EB6-8F37-E04CC3D8DA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1268" y="76200"/>
          <a:ext cx="412654" cy="413084"/>
        </a:xfrm>
        <a:prstGeom prst="rect">
          <a:avLst/>
        </a:prstGeom>
      </xdr:spPr>
    </xdr:pic>
    <xdr:clientData/>
  </xdr:twoCellAnchor>
  <xdr:twoCellAnchor>
    <xdr:from>
      <xdr:col>2</xdr:col>
      <xdr:colOff>7820</xdr:colOff>
      <xdr:row>0</xdr:row>
      <xdr:rowOff>75027</xdr:rowOff>
    </xdr:from>
    <xdr:to>
      <xdr:col>2</xdr:col>
      <xdr:colOff>418854</xdr:colOff>
      <xdr:row>1</xdr:row>
      <xdr:rowOff>52792</xdr:rowOff>
    </xdr:to>
    <xdr:pic>
      <xdr:nvPicPr>
        <xdr:cNvPr id="7" name="Graphic 6" descr="Teacher with solid fill">
          <a:extLst>
            <a:ext uri="{FF2B5EF4-FFF2-40B4-BE49-F238E27FC236}">
              <a16:creationId xmlns:a16="http://schemas.microsoft.com/office/drawing/2014/main" id="{A4E003CD-DAAD-3460-054D-39C1059F28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64529" y="75027"/>
          <a:ext cx="411034" cy="465445"/>
        </a:xfrm>
        <a:prstGeom prst="rect">
          <a:avLst/>
        </a:prstGeom>
      </xdr:spPr>
    </xdr:pic>
    <xdr:clientData/>
  </xdr:twoCellAnchor>
  <xdr:twoCellAnchor>
    <xdr:from>
      <xdr:col>3</xdr:col>
      <xdr:colOff>22302</xdr:colOff>
      <xdr:row>0</xdr:row>
      <xdr:rowOff>79918</xdr:rowOff>
    </xdr:from>
    <xdr:to>
      <xdr:col>3</xdr:col>
      <xdr:colOff>434680</xdr:colOff>
      <xdr:row>1</xdr:row>
      <xdr:rowOff>56511</xdr:rowOff>
    </xdr:to>
    <xdr:pic>
      <xdr:nvPicPr>
        <xdr:cNvPr id="9" name="Graphic 8" descr="Gauge with solid fill">
          <a:extLst>
            <a:ext uri="{FF2B5EF4-FFF2-40B4-BE49-F238E27FC236}">
              <a16:creationId xmlns:a16="http://schemas.microsoft.com/office/drawing/2014/main" id="{EB438D73-8A0D-38B1-B77D-4590C73661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64204" y="79918"/>
          <a:ext cx="412378" cy="463530"/>
        </a:xfrm>
        <a:prstGeom prst="rect">
          <a:avLst/>
        </a:prstGeom>
      </xdr:spPr>
    </xdr:pic>
    <xdr:clientData/>
  </xdr:twoCellAnchor>
  <xdr:twoCellAnchor>
    <xdr:from>
      <xdr:col>0</xdr:col>
      <xdr:colOff>0</xdr:colOff>
      <xdr:row>5</xdr:row>
      <xdr:rowOff>175260</xdr:rowOff>
    </xdr:from>
    <xdr:to>
      <xdr:col>4</xdr:col>
      <xdr:colOff>30480</xdr:colOff>
      <xdr:row>24</xdr:row>
      <xdr:rowOff>7620</xdr:rowOff>
    </xdr:to>
    <xdr:graphicFrame macro="">
      <xdr:nvGraphicFramePr>
        <xdr:cNvPr id="11" name="Chart 10">
          <a:extLst>
            <a:ext uri="{FF2B5EF4-FFF2-40B4-BE49-F238E27FC236}">
              <a16:creationId xmlns:a16="http://schemas.microsoft.com/office/drawing/2014/main" id="{B8832CD2-EBB3-4D37-AE7C-7BB28C704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182880</xdr:colOff>
      <xdr:row>5</xdr:row>
      <xdr:rowOff>167640</xdr:rowOff>
    </xdr:from>
    <xdr:to>
      <xdr:col>10</xdr:col>
      <xdr:colOff>403860</xdr:colOff>
      <xdr:row>19</xdr:row>
      <xdr:rowOff>7620</xdr:rowOff>
    </xdr:to>
    <xdr:graphicFrame macro="">
      <xdr:nvGraphicFramePr>
        <xdr:cNvPr id="12" name="Chart 11">
          <a:extLst>
            <a:ext uri="{FF2B5EF4-FFF2-40B4-BE49-F238E27FC236}">
              <a16:creationId xmlns:a16="http://schemas.microsoft.com/office/drawing/2014/main" id="{4C7788DB-251E-427C-9845-42B2B01B0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0</xdr:colOff>
      <xdr:row>6</xdr:row>
      <xdr:rowOff>0</xdr:rowOff>
    </xdr:from>
    <xdr:to>
      <xdr:col>17</xdr:col>
      <xdr:colOff>484094</xdr:colOff>
      <xdr:row>18</xdr:row>
      <xdr:rowOff>161364</xdr:rowOff>
    </xdr:to>
    <xdr:graphicFrame macro="">
      <xdr:nvGraphicFramePr>
        <xdr:cNvPr id="13" name="Chart 12">
          <a:extLst>
            <a:ext uri="{FF2B5EF4-FFF2-40B4-BE49-F238E27FC236}">
              <a16:creationId xmlns:a16="http://schemas.microsoft.com/office/drawing/2014/main" id="{30E2AB3F-0702-4703-8ABD-4AC27B186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17</xdr:col>
      <xdr:colOff>563497</xdr:colOff>
      <xdr:row>0</xdr:row>
      <xdr:rowOff>0</xdr:rowOff>
    </xdr:from>
    <xdr:to>
      <xdr:col>20</xdr:col>
      <xdr:colOff>563497</xdr:colOff>
      <xdr:row>11</xdr:row>
      <xdr:rowOff>43815</xdr:rowOff>
    </xdr:to>
    <mc:AlternateContent xmlns:mc="http://schemas.openxmlformats.org/markup-compatibility/2006" xmlns:sle15="http://schemas.microsoft.com/office/drawing/2012/slicer">
      <mc:Choice Requires="sle15">
        <xdr:graphicFrame macro="">
          <xdr:nvGraphicFramePr>
            <xdr:cNvPr id="14" name="Agent_Name">
              <a:extLst>
                <a:ext uri="{FF2B5EF4-FFF2-40B4-BE49-F238E27FC236}">
                  <a16:creationId xmlns:a16="http://schemas.microsoft.com/office/drawing/2014/main" id="{83419690-E6E8-4922-87F2-5470A7A7BA80}"/>
                </a:ext>
              </a:extLst>
            </xdr:cNvPr>
            <xdr:cNvGraphicFramePr/>
          </xdr:nvGraphicFramePr>
          <xdr:xfrm>
            <a:off x="0" y="0"/>
            <a:ext cx="0" cy="0"/>
          </xdr:xfrm>
          <a:graphic>
            <a:graphicData uri="http://schemas.microsoft.com/office/drawing/2010/slicer">
              <sle:slicer xmlns:sle="http://schemas.microsoft.com/office/drawing/2010/slicer" name="Agent_Name"/>
            </a:graphicData>
          </a:graphic>
        </xdr:graphicFrame>
      </mc:Choice>
      <mc:Fallback xmlns="">
        <xdr:sp macro="" textlink="">
          <xdr:nvSpPr>
            <xdr:cNvPr id="0" name=""/>
            <xdr:cNvSpPr>
              <a:spLocks noTextEdit="1"/>
            </xdr:cNvSpPr>
          </xdr:nvSpPr>
          <xdr:spPr>
            <a:xfrm>
              <a:off x="14812897" y="0"/>
              <a:ext cx="1828800" cy="24931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564586</xdr:colOff>
      <xdr:row>12</xdr:row>
      <xdr:rowOff>88171</xdr:rowOff>
    </xdr:from>
    <xdr:to>
      <xdr:col>20</xdr:col>
      <xdr:colOff>564586</xdr:colOff>
      <xdr:row>25</xdr:row>
      <xdr:rowOff>179883</xdr:rowOff>
    </xdr:to>
    <mc:AlternateContent xmlns:mc="http://schemas.openxmlformats.org/markup-compatibility/2006" xmlns:sle15="http://schemas.microsoft.com/office/drawing/2012/slicer">
      <mc:Choice Requires="sle15">
        <xdr:graphicFrame macro="">
          <xdr:nvGraphicFramePr>
            <xdr:cNvPr id="15" name="Process 1">
              <a:extLst>
                <a:ext uri="{FF2B5EF4-FFF2-40B4-BE49-F238E27FC236}">
                  <a16:creationId xmlns:a16="http://schemas.microsoft.com/office/drawing/2014/main" id="{C7851B51-797D-4E6F-BB81-0E673A93548A}"/>
                </a:ext>
              </a:extLst>
            </xdr:cNvPr>
            <xdr:cNvGraphicFramePr/>
          </xdr:nvGraphicFramePr>
          <xdr:xfrm>
            <a:off x="0" y="0"/>
            <a:ext cx="0" cy="0"/>
          </xdr:xfrm>
          <a:graphic>
            <a:graphicData uri="http://schemas.microsoft.com/office/drawing/2010/slicer">
              <sle:slicer xmlns:sle="http://schemas.microsoft.com/office/drawing/2010/slicer" name="Process 1"/>
            </a:graphicData>
          </a:graphic>
        </xdr:graphicFrame>
      </mc:Choice>
      <mc:Fallback xmlns="">
        <xdr:sp macro="" textlink="">
          <xdr:nvSpPr>
            <xdr:cNvPr id="0" name=""/>
            <xdr:cNvSpPr>
              <a:spLocks noTextEdit="1"/>
            </xdr:cNvSpPr>
          </xdr:nvSpPr>
          <xdr:spPr>
            <a:xfrm>
              <a:off x="14813986" y="2722514"/>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543904</xdr:colOff>
      <xdr:row>26</xdr:row>
      <xdr:rowOff>163541</xdr:rowOff>
    </xdr:from>
    <xdr:to>
      <xdr:col>20</xdr:col>
      <xdr:colOff>543904</xdr:colOff>
      <xdr:row>40</xdr:row>
      <xdr:rowOff>19993</xdr:rowOff>
    </xdr:to>
    <mc:AlternateContent xmlns:mc="http://schemas.openxmlformats.org/markup-compatibility/2006" xmlns:sle15="http://schemas.microsoft.com/office/drawing/2012/slicer">
      <mc:Choice Requires="sle15">
        <xdr:graphicFrame macro="">
          <xdr:nvGraphicFramePr>
            <xdr:cNvPr id="16" name="Performance_Bucket">
              <a:extLst>
                <a:ext uri="{FF2B5EF4-FFF2-40B4-BE49-F238E27FC236}">
                  <a16:creationId xmlns:a16="http://schemas.microsoft.com/office/drawing/2014/main" id="{91A5D7EB-ED46-480D-99AC-234E8765E7EF}"/>
                </a:ext>
              </a:extLst>
            </xdr:cNvPr>
            <xdr:cNvGraphicFramePr/>
          </xdr:nvGraphicFramePr>
          <xdr:xfrm>
            <a:off x="0" y="0"/>
            <a:ext cx="0" cy="0"/>
          </xdr:xfrm>
          <a:graphic>
            <a:graphicData uri="http://schemas.microsoft.com/office/drawing/2010/slicer">
              <sle:slicer xmlns:sle="http://schemas.microsoft.com/office/drawing/2010/slicer" name="Performance_Bucket"/>
            </a:graphicData>
          </a:graphic>
        </xdr:graphicFrame>
      </mc:Choice>
      <mc:Fallback xmlns="">
        <xdr:sp macro="" textlink="">
          <xdr:nvSpPr>
            <xdr:cNvPr id="0" name=""/>
            <xdr:cNvSpPr>
              <a:spLocks noTextEdit="1"/>
            </xdr:cNvSpPr>
          </xdr:nvSpPr>
          <xdr:spPr>
            <a:xfrm>
              <a:off x="14793304" y="5399570"/>
              <a:ext cx="1828800" cy="247990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adhithya" refreshedDate="46061.513115162037" createdVersion="8" refreshedVersion="8" minRefreshableVersion="3" recordCount="150" xr:uid="{311FBF5E-8D47-439A-A57D-513C8FCC365B}">
  <cacheSource type="worksheet">
    <worksheetSource name="Table1"/>
  </cacheSource>
  <cacheFields count="22">
    <cacheField name="Ticket_ID" numFmtId="0">
      <sharedItems/>
    </cacheField>
    <cacheField name="Ticket_Date" numFmtId="14">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fieldGroup par="21"/>
    </cacheField>
    <cacheField name="Agent_ID" numFmtId="0">
      <sharedItems/>
    </cacheField>
    <cacheField name="Agent_Name" numFmtId="0">
      <sharedItems count="6">
        <s v="Rahul"/>
        <s v="Anita"/>
        <s v="Suresh"/>
        <s v="Priya"/>
        <s v="Rohit"/>
        <s v="Kavya"/>
      </sharedItems>
    </cacheField>
    <cacheField name="Process" numFmtId="0">
      <sharedItems count="3">
        <s v="Tech Support"/>
        <s v="Billing"/>
        <s v="Sales"/>
      </sharedItems>
    </cacheField>
    <cacheField name="Channel" numFmtId="0">
      <sharedItems count="3">
        <s v="Call"/>
        <s v="Chat"/>
        <s v="Email"/>
      </sharedItems>
    </cacheField>
    <cacheField name="Customer_Type" numFmtId="0">
      <sharedItems/>
    </cacheField>
    <cacheField name="Priority" numFmtId="0">
      <sharedItems count="3">
        <s v="High"/>
        <s v="Medium"/>
        <s v="Low"/>
      </sharedItems>
    </cacheField>
    <cacheField name="Open_Time" numFmtId="20">
      <sharedItems containsSemiMixedTypes="0" containsNonDate="0" containsDate="1" containsString="0" minDate="1899-12-30T09:00:00" maxDate="1899-12-30T12:25:00"/>
    </cacheField>
    <cacheField name="Close_Time" numFmtId="20">
      <sharedItems containsSemiMixedTypes="0" containsNonDate="0" containsDate="1" containsString="0" minDate="1899-12-30T09:50:00" maxDate="1899-12-30T13:20:00"/>
    </cacheField>
    <cacheField name="SLA_Target_Min" numFmtId="0">
      <sharedItems containsSemiMixedTypes="0" containsString="0" containsNumber="1" containsInteger="1" minValue="30" maxValue="60"/>
    </cacheField>
    <cacheField name="CSAT_Score" numFmtId="0">
      <sharedItems containsSemiMixedTypes="0" containsString="0" containsNumber="1" containsInteger="1" minValue="2" maxValue="5"/>
    </cacheField>
    <cacheField name="Reopen_Flag" numFmtId="0">
      <sharedItems/>
    </cacheField>
    <cacheField name="Resolution_Time_Min" numFmtId="1">
      <sharedItems containsSemiMixedTypes="0" containsString="0" containsNumber="1" minValue="26.999999999999986" maxValue="55.000000000000128"/>
    </cacheField>
    <cacheField name="SLA_Status" numFmtId="0">
      <sharedItems count="2">
        <s v="Breached"/>
        <s v="Met"/>
      </sharedItems>
    </cacheField>
    <cacheField name="SLA_Breach_Flag" numFmtId="0">
      <sharedItems containsSemiMixedTypes="0" containsString="0" containsNumber="1" containsInteger="1" minValue="0" maxValue="1"/>
    </cacheField>
    <cacheField name="Resolution_Bucket" numFmtId="0">
      <sharedItems/>
    </cacheField>
    <cacheField name="CSAT_Bucket" numFmtId="0">
      <sharedItems/>
    </cacheField>
    <cacheField name="Reopen_Flag_Num" numFmtId="0">
      <sharedItems containsSemiMixedTypes="0" containsString="0" containsNumber="1" containsInteger="1" minValue="0" maxValue="1"/>
    </cacheField>
    <cacheField name="SLA_Met_Flag" numFmtId="0">
      <sharedItems containsSemiMixedTypes="0" containsString="0" containsNumber="1" containsInteger="1" minValue="0" maxValue="1"/>
    </cacheField>
    <cacheField name="Agent_Performance_Score" numFmtId="0">
      <sharedItems containsSemiMixedTypes="0" containsString="0" containsNumber="1" minValue="1" maxValue="5"/>
    </cacheField>
    <cacheField name="Months (Ticket_Date)" numFmtId="0" databaseField="0">
      <fieldGroup base="1">
        <rangePr groupBy="months" startDate="2024-01-01T00:00:00" endDate="2024-02-20T00:00:00"/>
        <groupItems count="14">
          <s v="&lt;01-01-2024"/>
          <s v="Jan"/>
          <s v="Feb"/>
          <s v="Mar"/>
          <s v="Apr"/>
          <s v="May"/>
          <s v="Jun"/>
          <s v="Jul"/>
          <s v="Aug"/>
          <s v="Sep"/>
          <s v="Oct"/>
          <s v="Nov"/>
          <s v="Dec"/>
          <s v="&gt;20-02-2024"/>
        </groupItems>
      </fieldGroup>
    </cacheField>
  </cacheFields>
  <extLst>
    <ext xmlns:x14="http://schemas.microsoft.com/office/spreadsheetml/2009/9/main" uri="{725AE2AE-9491-48be-B2B4-4EB974FC3084}">
      <x14:pivotCacheDefinition pivotCacheId="159801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CKT001"/>
    <x v="0"/>
    <s v="AG001"/>
    <x v="0"/>
    <x v="0"/>
    <x v="0"/>
    <s v="Existing"/>
    <x v="0"/>
    <d v="1899-12-30T09:15:00"/>
    <d v="1899-12-30T09:55:00"/>
    <n v="30"/>
    <n v="3"/>
    <s v="No"/>
    <n v="39.999999999999936"/>
    <x v="0"/>
    <n v="1"/>
    <s v="Moderate"/>
    <s v="Neutral"/>
    <n v="0"/>
    <n v="0"/>
    <n v="1.5"/>
  </r>
  <r>
    <s v="TCKT002"/>
    <x v="0"/>
    <s v="AG002"/>
    <x v="1"/>
    <x v="1"/>
    <x v="1"/>
    <s v="New"/>
    <x v="1"/>
    <d v="1899-12-30T10:05:00"/>
    <d v="1899-12-30T10:32:00"/>
    <n v="40"/>
    <n v="4"/>
    <s v="No"/>
    <n v="26.999999999999986"/>
    <x v="1"/>
    <n v="0"/>
    <s v="Fast"/>
    <s v="Satisfied"/>
    <n v="0"/>
    <n v="1"/>
    <n v="4"/>
  </r>
  <r>
    <s v="TCKT003"/>
    <x v="0"/>
    <s v="AG003"/>
    <x v="2"/>
    <x v="0"/>
    <x v="2"/>
    <s v="Existing"/>
    <x v="2"/>
    <d v="1899-12-30T11:20:00"/>
    <d v="1899-12-30T12:10:00"/>
    <n v="60"/>
    <n v="5"/>
    <s v="No"/>
    <n v="49.999999999999986"/>
    <x v="1"/>
    <n v="0"/>
    <s v="Moderate"/>
    <s v="Satisfied"/>
    <n v="0"/>
    <n v="1"/>
    <n v="5"/>
  </r>
  <r>
    <s v="TCKT004"/>
    <x v="0"/>
    <s v="AG004"/>
    <x v="3"/>
    <x v="2"/>
    <x v="0"/>
    <s v="New"/>
    <x v="0"/>
    <d v="1899-12-30T09:40:00"/>
    <d v="1899-12-30T10:35:00"/>
    <n v="30"/>
    <n v="2"/>
    <s v="Yes"/>
    <n v="54.999999999999964"/>
    <x v="0"/>
    <n v="1"/>
    <s v="Moderate"/>
    <s v="Dissatisfied"/>
    <n v="1"/>
    <n v="0"/>
    <n v="1"/>
  </r>
  <r>
    <s v="TCKT005"/>
    <x v="1"/>
    <s v="AG001"/>
    <x v="0"/>
    <x v="0"/>
    <x v="0"/>
    <s v="Existing"/>
    <x v="1"/>
    <d v="1899-12-30T10:10:00"/>
    <d v="1899-12-30T10:45:00"/>
    <n v="40"/>
    <n v="4"/>
    <s v="No"/>
    <n v="35.000000000000036"/>
    <x v="1"/>
    <n v="0"/>
    <s v="Moderate"/>
    <s v="Satisfied"/>
    <n v="0"/>
    <n v="1"/>
    <n v="4"/>
  </r>
  <r>
    <s v="TCKT006"/>
    <x v="1"/>
    <s v="AG002"/>
    <x v="1"/>
    <x v="1"/>
    <x v="1"/>
    <s v="Existing"/>
    <x v="2"/>
    <d v="1899-12-30T11:00:00"/>
    <d v="1899-12-30T11:50:00"/>
    <n v="60"/>
    <n v="5"/>
    <s v="No"/>
    <n v="50.000000000000064"/>
    <x v="1"/>
    <n v="0"/>
    <s v="Moderate"/>
    <s v="Satisfied"/>
    <n v="0"/>
    <n v="1"/>
    <n v="5"/>
  </r>
  <r>
    <s v="TCKT007"/>
    <x v="1"/>
    <s v="AG005"/>
    <x v="4"/>
    <x v="2"/>
    <x v="0"/>
    <s v="New"/>
    <x v="0"/>
    <d v="1899-12-30T12:15:00"/>
    <d v="1899-12-30T13:05:00"/>
    <n v="30"/>
    <n v="2"/>
    <s v="Yes"/>
    <n v="49.999999999999986"/>
    <x v="0"/>
    <n v="1"/>
    <s v="Moderate"/>
    <s v="Dissatisfied"/>
    <n v="1"/>
    <n v="0"/>
    <n v="1"/>
  </r>
  <r>
    <s v="TCKT008"/>
    <x v="2"/>
    <s v="AG006"/>
    <x v="5"/>
    <x v="0"/>
    <x v="2"/>
    <s v="Existing"/>
    <x v="1"/>
    <d v="1899-12-30T09:30:00"/>
    <d v="1899-12-30T10:15:00"/>
    <n v="40"/>
    <n v="4"/>
    <s v="No"/>
    <n v="45"/>
    <x v="0"/>
    <n v="1"/>
    <s v="Moderate"/>
    <s v="Satisfied"/>
    <n v="0"/>
    <n v="0"/>
    <n v="2"/>
  </r>
  <r>
    <s v="TCKT009"/>
    <x v="2"/>
    <s v="AG003"/>
    <x v="2"/>
    <x v="0"/>
    <x v="0"/>
    <s v="Existing"/>
    <x v="0"/>
    <d v="1899-12-30T10:50:00"/>
    <d v="1899-12-30T11:40:00"/>
    <n v="30"/>
    <n v="3"/>
    <s v="No"/>
    <n v="49.999999999999986"/>
    <x v="0"/>
    <n v="1"/>
    <s v="Moderate"/>
    <s v="Neutral"/>
    <n v="0"/>
    <n v="0"/>
    <n v="1.5"/>
  </r>
  <r>
    <s v="TCKT010"/>
    <x v="2"/>
    <s v="AG004"/>
    <x v="3"/>
    <x v="2"/>
    <x v="1"/>
    <s v="New"/>
    <x v="1"/>
    <d v="1899-12-30T12:05:00"/>
    <d v="1899-12-30T12:35:00"/>
    <n v="40"/>
    <n v="4"/>
    <s v="No"/>
    <n v="30.000000000000053"/>
    <x v="1"/>
    <n v="0"/>
    <s v="Moderate"/>
    <s v="Satisfied"/>
    <n v="0"/>
    <n v="1"/>
    <n v="4"/>
  </r>
  <r>
    <s v="TCKT011"/>
    <x v="3"/>
    <s v="AG001"/>
    <x v="0"/>
    <x v="0"/>
    <x v="0"/>
    <s v="Existing"/>
    <x v="0"/>
    <d v="1899-12-30T09:20:00"/>
    <d v="1899-12-30T10:10:00"/>
    <n v="30"/>
    <n v="2"/>
    <s v="Yes"/>
    <n v="49.999999999999986"/>
    <x v="0"/>
    <n v="1"/>
    <s v="Moderate"/>
    <s v="Dissatisfied"/>
    <n v="1"/>
    <n v="0"/>
    <n v="1"/>
  </r>
  <r>
    <s v="TCKT012"/>
    <x v="3"/>
    <s v="AG002"/>
    <x v="1"/>
    <x v="1"/>
    <x v="2"/>
    <s v="Existing"/>
    <x v="2"/>
    <d v="1899-12-30T10:45:00"/>
    <d v="1899-12-30T11:40:00"/>
    <n v="60"/>
    <n v="5"/>
    <s v="No"/>
    <n v="54.999999999999964"/>
    <x v="1"/>
    <n v="0"/>
    <s v="Moderate"/>
    <s v="Satisfied"/>
    <n v="0"/>
    <n v="1"/>
    <n v="5"/>
  </r>
  <r>
    <s v="TCKT013"/>
    <x v="3"/>
    <s v="AG005"/>
    <x v="4"/>
    <x v="2"/>
    <x v="0"/>
    <s v="New"/>
    <x v="1"/>
    <d v="1899-12-30T11:15:00"/>
    <d v="1899-12-30T11:55:00"/>
    <n v="40"/>
    <n v="3"/>
    <s v="No"/>
    <n v="40.000000000000014"/>
    <x v="1"/>
    <n v="0"/>
    <s v="Moderate"/>
    <s v="Neutral"/>
    <n v="0"/>
    <n v="1"/>
    <n v="3"/>
  </r>
  <r>
    <s v="TCKT014"/>
    <x v="4"/>
    <s v="AG006"/>
    <x v="5"/>
    <x v="0"/>
    <x v="1"/>
    <s v="Existing"/>
    <x v="1"/>
    <d v="1899-12-30T09:10:00"/>
    <d v="1899-12-30T09:50:00"/>
    <n v="40"/>
    <n v="4"/>
    <s v="No"/>
    <n v="40.000000000000014"/>
    <x v="1"/>
    <n v="0"/>
    <s v="Moderate"/>
    <s v="Satisfied"/>
    <n v="0"/>
    <n v="1"/>
    <n v="4"/>
  </r>
  <r>
    <s v="TCKT015"/>
    <x v="4"/>
    <s v="AG003"/>
    <x v="2"/>
    <x v="0"/>
    <x v="2"/>
    <s v="Existing"/>
    <x v="2"/>
    <d v="1899-12-30T10:30:00"/>
    <d v="1899-12-30T11:25:00"/>
    <n v="60"/>
    <n v="5"/>
    <s v="No"/>
    <n v="54.999999999999964"/>
    <x v="1"/>
    <n v="0"/>
    <s v="Moderate"/>
    <s v="Satisfied"/>
    <n v="0"/>
    <n v="1"/>
    <n v="5"/>
  </r>
  <r>
    <s v="TCKT016"/>
    <x v="4"/>
    <s v="AG004"/>
    <x v="3"/>
    <x v="2"/>
    <x v="0"/>
    <s v="New"/>
    <x v="0"/>
    <d v="1899-12-30T12:20:00"/>
    <d v="1899-12-30T13:15:00"/>
    <n v="30"/>
    <n v="2"/>
    <s v="Yes"/>
    <n v="55.000000000000128"/>
    <x v="0"/>
    <n v="1"/>
    <s v="Moderate"/>
    <s v="Dissatisfied"/>
    <n v="1"/>
    <n v="0"/>
    <n v="1"/>
  </r>
  <r>
    <s v="TCKT017"/>
    <x v="5"/>
    <s v="AG001"/>
    <x v="0"/>
    <x v="0"/>
    <x v="0"/>
    <s v="Existing"/>
    <x v="1"/>
    <d v="1899-12-30T09:40:00"/>
    <d v="1899-12-30T10:20:00"/>
    <n v="40"/>
    <n v="4"/>
    <s v="No"/>
    <n v="40.000000000000014"/>
    <x v="1"/>
    <n v="0"/>
    <s v="Moderate"/>
    <s v="Satisfied"/>
    <n v="0"/>
    <n v="1"/>
    <n v="4"/>
  </r>
  <r>
    <s v="TCKT018"/>
    <x v="5"/>
    <s v="AG002"/>
    <x v="1"/>
    <x v="1"/>
    <x v="1"/>
    <s v="New"/>
    <x v="2"/>
    <d v="1899-12-30T10:55:00"/>
    <d v="1899-12-30T11:40:00"/>
    <n v="60"/>
    <n v="5"/>
    <s v="No"/>
    <n v="45"/>
    <x v="1"/>
    <n v="0"/>
    <s v="Moderate"/>
    <s v="Satisfied"/>
    <n v="0"/>
    <n v="1"/>
    <n v="5"/>
  </r>
  <r>
    <s v="TCKT019"/>
    <x v="5"/>
    <s v="AG005"/>
    <x v="4"/>
    <x v="2"/>
    <x v="0"/>
    <s v="New"/>
    <x v="0"/>
    <d v="1899-12-30T12:10:00"/>
    <d v="1899-12-30T13:00:00"/>
    <n v="30"/>
    <n v="2"/>
    <s v="Yes"/>
    <n v="49.999999999999986"/>
    <x v="0"/>
    <n v="1"/>
    <s v="Moderate"/>
    <s v="Dissatisfied"/>
    <n v="1"/>
    <n v="0"/>
    <n v="1"/>
  </r>
  <r>
    <s v="TCKT020"/>
    <x v="6"/>
    <s v="AG006"/>
    <x v="5"/>
    <x v="0"/>
    <x v="2"/>
    <s v="Existing"/>
    <x v="1"/>
    <d v="1899-12-30T09:35:00"/>
    <d v="1899-12-30T10:15:00"/>
    <n v="40"/>
    <n v="4"/>
    <s v="No"/>
    <n v="39.999999999999936"/>
    <x v="1"/>
    <n v="0"/>
    <s v="Moderate"/>
    <s v="Satisfied"/>
    <n v="0"/>
    <n v="1"/>
    <n v="4"/>
  </r>
  <r>
    <s v="TCKT021"/>
    <x v="6"/>
    <s v="AG003"/>
    <x v="2"/>
    <x v="0"/>
    <x v="0"/>
    <s v="Existing"/>
    <x v="0"/>
    <d v="1899-12-30T10:50:00"/>
    <d v="1899-12-30T11:45:00"/>
    <n v="30"/>
    <n v="3"/>
    <s v="No"/>
    <n v="54.999999999999964"/>
    <x v="0"/>
    <n v="1"/>
    <s v="Moderate"/>
    <s v="Neutral"/>
    <n v="0"/>
    <n v="0"/>
    <n v="1.5"/>
  </r>
  <r>
    <s v="TCKT022"/>
    <x v="6"/>
    <s v="AG004"/>
    <x v="3"/>
    <x v="2"/>
    <x v="1"/>
    <s v="New"/>
    <x v="1"/>
    <d v="1899-12-30T12:05:00"/>
    <d v="1899-12-30T12:40:00"/>
    <n v="40"/>
    <n v="4"/>
    <s v="No"/>
    <n v="35.000000000000036"/>
    <x v="1"/>
    <n v="0"/>
    <s v="Moderate"/>
    <s v="Satisfied"/>
    <n v="0"/>
    <n v="1"/>
    <n v="4"/>
  </r>
  <r>
    <s v="TCKT023"/>
    <x v="7"/>
    <s v="AG001"/>
    <x v="0"/>
    <x v="0"/>
    <x v="0"/>
    <s v="Existing"/>
    <x v="0"/>
    <d v="1899-12-30T09:10:00"/>
    <d v="1899-12-30T10:05:00"/>
    <n v="30"/>
    <n v="2"/>
    <s v="Yes"/>
    <n v="55.000000000000043"/>
    <x v="0"/>
    <n v="1"/>
    <s v="Moderate"/>
    <s v="Dissatisfied"/>
    <n v="1"/>
    <n v="0"/>
    <n v="1"/>
  </r>
  <r>
    <s v="TCKT024"/>
    <x v="7"/>
    <s v="AG002"/>
    <x v="1"/>
    <x v="1"/>
    <x v="2"/>
    <s v="Existing"/>
    <x v="2"/>
    <d v="1899-12-30T10:35:00"/>
    <d v="1899-12-30T11:30:00"/>
    <n v="60"/>
    <n v="5"/>
    <s v="No"/>
    <n v="55.000000000000043"/>
    <x v="1"/>
    <n v="0"/>
    <s v="Moderate"/>
    <s v="Satisfied"/>
    <n v="0"/>
    <n v="1"/>
    <n v="5"/>
  </r>
  <r>
    <s v="TCKT025"/>
    <x v="7"/>
    <s v="AG005"/>
    <x v="4"/>
    <x v="2"/>
    <x v="0"/>
    <s v="New"/>
    <x v="1"/>
    <d v="1899-12-30T12:20:00"/>
    <d v="1899-12-30T13:00:00"/>
    <n v="40"/>
    <n v="3"/>
    <s v="No"/>
    <n v="40.000000000000014"/>
    <x v="1"/>
    <n v="0"/>
    <s v="Moderate"/>
    <s v="Neutral"/>
    <n v="0"/>
    <n v="1"/>
    <n v="3"/>
  </r>
  <r>
    <s v="TCKT026"/>
    <x v="8"/>
    <s v="AG006"/>
    <x v="5"/>
    <x v="0"/>
    <x v="1"/>
    <s v="Existing"/>
    <x v="1"/>
    <d v="1899-12-30T09:25:00"/>
    <d v="1899-12-30T10:05:00"/>
    <n v="40"/>
    <n v="4"/>
    <s v="No"/>
    <n v="40.000000000000014"/>
    <x v="1"/>
    <n v="0"/>
    <s v="Moderate"/>
    <s v="Satisfied"/>
    <n v="0"/>
    <n v="1"/>
    <n v="4"/>
  </r>
  <r>
    <s v="TCKT027"/>
    <x v="8"/>
    <s v="AG003"/>
    <x v="2"/>
    <x v="0"/>
    <x v="0"/>
    <s v="Existing"/>
    <x v="0"/>
    <d v="1899-12-30T10:40:00"/>
    <d v="1899-12-30T11:35:00"/>
    <n v="30"/>
    <n v="3"/>
    <s v="No"/>
    <n v="55.000000000000043"/>
    <x v="0"/>
    <n v="1"/>
    <s v="Moderate"/>
    <s v="Neutral"/>
    <n v="0"/>
    <n v="0"/>
    <n v="1.5"/>
  </r>
  <r>
    <s v="TCKT028"/>
    <x v="8"/>
    <s v="AG004"/>
    <x v="3"/>
    <x v="2"/>
    <x v="0"/>
    <s v="New"/>
    <x v="0"/>
    <d v="1899-12-30T12:10:00"/>
    <d v="1899-12-30T13:05:00"/>
    <n v="30"/>
    <n v="2"/>
    <s v="Yes"/>
    <n v="54.999999999999964"/>
    <x v="0"/>
    <n v="1"/>
    <s v="Moderate"/>
    <s v="Dissatisfied"/>
    <n v="1"/>
    <n v="0"/>
    <n v="1"/>
  </r>
  <r>
    <s v="TCKT029"/>
    <x v="9"/>
    <s v="AG001"/>
    <x v="0"/>
    <x v="0"/>
    <x v="0"/>
    <s v="Existing"/>
    <x v="1"/>
    <d v="1899-12-30T09:15:00"/>
    <d v="1899-12-30T09:50:00"/>
    <n v="40"/>
    <n v="4"/>
    <s v="No"/>
    <n v="34.999999999999957"/>
    <x v="1"/>
    <n v="0"/>
    <s v="Moderate"/>
    <s v="Satisfied"/>
    <n v="0"/>
    <n v="1"/>
    <n v="4"/>
  </r>
  <r>
    <s v="TCKT030"/>
    <x v="9"/>
    <s v="AG002"/>
    <x v="1"/>
    <x v="1"/>
    <x v="1"/>
    <s v="Existing"/>
    <x v="2"/>
    <d v="1899-12-30T10:20:00"/>
    <d v="1899-12-30T11:05:00"/>
    <n v="60"/>
    <n v="5"/>
    <s v="No"/>
    <n v="45"/>
    <x v="1"/>
    <n v="0"/>
    <s v="Moderate"/>
    <s v="Satisfied"/>
    <n v="0"/>
    <n v="1"/>
    <n v="5"/>
  </r>
  <r>
    <s v="TCKT031"/>
    <x v="9"/>
    <s v="AG005"/>
    <x v="4"/>
    <x v="2"/>
    <x v="0"/>
    <s v="New"/>
    <x v="1"/>
    <d v="1899-12-30T11:30:00"/>
    <d v="1899-12-30T12:15:00"/>
    <n v="40"/>
    <n v="3"/>
    <s v="No"/>
    <n v="44.999999999999922"/>
    <x v="0"/>
    <n v="1"/>
    <s v="Moderate"/>
    <s v="Neutral"/>
    <n v="0"/>
    <n v="0"/>
    <n v="1.5"/>
  </r>
  <r>
    <s v="TCKT032"/>
    <x v="10"/>
    <s v="AG006"/>
    <x v="5"/>
    <x v="0"/>
    <x v="2"/>
    <s v="Existing"/>
    <x v="2"/>
    <d v="1899-12-30T09:40:00"/>
    <d v="1899-12-30T10:35:00"/>
    <n v="60"/>
    <n v="5"/>
    <s v="No"/>
    <n v="54.999999999999964"/>
    <x v="1"/>
    <n v="0"/>
    <s v="Moderate"/>
    <s v="Satisfied"/>
    <n v="0"/>
    <n v="1"/>
    <n v="5"/>
  </r>
  <r>
    <s v="TCKT033"/>
    <x v="10"/>
    <s v="AG003"/>
    <x v="2"/>
    <x v="0"/>
    <x v="0"/>
    <s v="Existing"/>
    <x v="0"/>
    <d v="1899-12-30T10:55:00"/>
    <d v="1899-12-30T11:50:00"/>
    <n v="30"/>
    <n v="3"/>
    <s v="No"/>
    <n v="55.000000000000043"/>
    <x v="0"/>
    <n v="1"/>
    <s v="Moderate"/>
    <s v="Neutral"/>
    <n v="0"/>
    <n v="0"/>
    <n v="1.5"/>
  </r>
  <r>
    <s v="TCKT034"/>
    <x v="10"/>
    <s v="AG004"/>
    <x v="3"/>
    <x v="2"/>
    <x v="1"/>
    <s v="New"/>
    <x v="1"/>
    <d v="1899-12-30T12:10:00"/>
    <d v="1899-12-30T12:45:00"/>
    <n v="40"/>
    <n v="4"/>
    <s v="No"/>
    <n v="35.000000000000036"/>
    <x v="1"/>
    <n v="0"/>
    <s v="Moderate"/>
    <s v="Satisfied"/>
    <n v="0"/>
    <n v="1"/>
    <n v="4"/>
  </r>
  <r>
    <s v="TCKT035"/>
    <x v="11"/>
    <s v="AG001"/>
    <x v="0"/>
    <x v="0"/>
    <x v="0"/>
    <s v="Existing"/>
    <x v="0"/>
    <d v="1899-12-30T09:05:00"/>
    <d v="1899-12-30T10:00:00"/>
    <n v="30"/>
    <n v="2"/>
    <s v="Yes"/>
    <n v="55.000000000000043"/>
    <x v="0"/>
    <n v="1"/>
    <s v="Moderate"/>
    <s v="Dissatisfied"/>
    <n v="1"/>
    <n v="0"/>
    <n v="1"/>
  </r>
  <r>
    <s v="TCKT036"/>
    <x v="11"/>
    <s v="AG002"/>
    <x v="1"/>
    <x v="1"/>
    <x v="2"/>
    <s v="Existing"/>
    <x v="2"/>
    <d v="1899-12-30T10:30:00"/>
    <d v="1899-12-30T11:25:00"/>
    <n v="60"/>
    <n v="5"/>
    <s v="No"/>
    <n v="54.999999999999964"/>
    <x v="1"/>
    <n v="0"/>
    <s v="Moderate"/>
    <s v="Satisfied"/>
    <n v="0"/>
    <n v="1"/>
    <n v="5"/>
  </r>
  <r>
    <s v="TCKT037"/>
    <x v="11"/>
    <s v="AG005"/>
    <x v="4"/>
    <x v="2"/>
    <x v="0"/>
    <s v="New"/>
    <x v="0"/>
    <d v="1899-12-30T12:20:00"/>
    <d v="1899-12-30T13:15:00"/>
    <n v="30"/>
    <n v="2"/>
    <s v="Yes"/>
    <n v="55.000000000000128"/>
    <x v="0"/>
    <n v="1"/>
    <s v="Moderate"/>
    <s v="Dissatisfied"/>
    <n v="1"/>
    <n v="0"/>
    <n v="1"/>
  </r>
  <r>
    <s v="TCKT038"/>
    <x v="12"/>
    <s v="AG006"/>
    <x v="5"/>
    <x v="0"/>
    <x v="1"/>
    <s v="Existing"/>
    <x v="1"/>
    <d v="1899-12-30T09:10:00"/>
    <d v="1899-12-30T09:50:00"/>
    <n v="40"/>
    <n v="4"/>
    <s v="No"/>
    <n v="40.000000000000014"/>
    <x v="1"/>
    <n v="0"/>
    <s v="Moderate"/>
    <s v="Satisfied"/>
    <n v="0"/>
    <n v="1"/>
    <n v="4"/>
  </r>
  <r>
    <s v="TCKT039"/>
    <x v="12"/>
    <s v="AG003"/>
    <x v="2"/>
    <x v="0"/>
    <x v="2"/>
    <s v="Existing"/>
    <x v="2"/>
    <d v="1899-12-30T10:25:00"/>
    <d v="1899-12-30T11:20:00"/>
    <n v="60"/>
    <n v="5"/>
    <s v="No"/>
    <n v="54.999999999999964"/>
    <x v="1"/>
    <n v="0"/>
    <s v="Moderate"/>
    <s v="Satisfied"/>
    <n v="0"/>
    <n v="1"/>
    <n v="5"/>
  </r>
  <r>
    <s v="TCKT040"/>
    <x v="12"/>
    <s v="AG004"/>
    <x v="3"/>
    <x v="2"/>
    <x v="0"/>
    <s v="New"/>
    <x v="0"/>
    <d v="1899-12-30T12:05:00"/>
    <d v="1899-12-30T13:00:00"/>
    <n v="30"/>
    <n v="2"/>
    <s v="Yes"/>
    <n v="54.999999999999964"/>
    <x v="0"/>
    <n v="1"/>
    <s v="Moderate"/>
    <s v="Dissatisfied"/>
    <n v="1"/>
    <n v="0"/>
    <n v="1"/>
  </r>
  <r>
    <s v="TCKT041"/>
    <x v="13"/>
    <s v="AG001"/>
    <x v="0"/>
    <x v="0"/>
    <x v="0"/>
    <s v="Existing"/>
    <x v="1"/>
    <d v="1899-12-30T09:35:00"/>
    <d v="1899-12-30T10:10:00"/>
    <n v="40"/>
    <n v="4"/>
    <s v="No"/>
    <n v="34.999999999999957"/>
    <x v="1"/>
    <n v="0"/>
    <s v="Moderate"/>
    <s v="Satisfied"/>
    <n v="0"/>
    <n v="1"/>
    <n v="4"/>
  </r>
  <r>
    <s v="TCKT042"/>
    <x v="13"/>
    <s v="AG002"/>
    <x v="1"/>
    <x v="1"/>
    <x v="1"/>
    <s v="New"/>
    <x v="2"/>
    <d v="1899-12-30T10:45:00"/>
    <d v="1899-12-30T11:30:00"/>
    <n v="60"/>
    <n v="5"/>
    <s v="No"/>
    <n v="45"/>
    <x v="1"/>
    <n v="0"/>
    <s v="Moderate"/>
    <s v="Satisfied"/>
    <n v="0"/>
    <n v="1"/>
    <n v="5"/>
  </r>
  <r>
    <s v="TCKT043"/>
    <x v="13"/>
    <s v="AG005"/>
    <x v="4"/>
    <x v="2"/>
    <x v="0"/>
    <s v="New"/>
    <x v="1"/>
    <d v="1899-12-30T12:15:00"/>
    <d v="1899-12-30T12:55:00"/>
    <n v="40"/>
    <n v="3"/>
    <s v="No"/>
    <n v="40.000000000000014"/>
    <x v="1"/>
    <n v="0"/>
    <s v="Moderate"/>
    <s v="Neutral"/>
    <n v="0"/>
    <n v="1"/>
    <n v="3"/>
  </r>
  <r>
    <s v="TCKT044"/>
    <x v="14"/>
    <s v="AG006"/>
    <x v="5"/>
    <x v="0"/>
    <x v="2"/>
    <s v="Existing"/>
    <x v="2"/>
    <d v="1899-12-30T09:20:00"/>
    <d v="1899-12-30T10:15:00"/>
    <n v="60"/>
    <n v="5"/>
    <s v="No"/>
    <n v="54.999999999999964"/>
    <x v="1"/>
    <n v="0"/>
    <s v="Moderate"/>
    <s v="Satisfied"/>
    <n v="0"/>
    <n v="1"/>
    <n v="5"/>
  </r>
  <r>
    <s v="TCKT045"/>
    <x v="14"/>
    <s v="AG003"/>
    <x v="2"/>
    <x v="0"/>
    <x v="0"/>
    <s v="Existing"/>
    <x v="0"/>
    <d v="1899-12-30T10:40:00"/>
    <d v="1899-12-30T11:35:00"/>
    <n v="30"/>
    <n v="3"/>
    <s v="No"/>
    <n v="55.000000000000043"/>
    <x v="0"/>
    <n v="1"/>
    <s v="Moderate"/>
    <s v="Neutral"/>
    <n v="0"/>
    <n v="0"/>
    <n v="1.5"/>
  </r>
  <r>
    <s v="TCKT046"/>
    <x v="14"/>
    <s v="AG004"/>
    <x v="3"/>
    <x v="2"/>
    <x v="1"/>
    <s v="New"/>
    <x v="1"/>
    <d v="1899-12-30T12:10:00"/>
    <d v="1899-12-30T12:45:00"/>
    <n v="40"/>
    <n v="4"/>
    <s v="No"/>
    <n v="35.000000000000036"/>
    <x v="1"/>
    <n v="0"/>
    <s v="Moderate"/>
    <s v="Satisfied"/>
    <n v="0"/>
    <n v="1"/>
    <n v="4"/>
  </r>
  <r>
    <s v="TCKT047"/>
    <x v="15"/>
    <s v="AG001"/>
    <x v="0"/>
    <x v="0"/>
    <x v="0"/>
    <s v="Existing"/>
    <x v="0"/>
    <d v="1899-12-30T09:05:00"/>
    <d v="1899-12-30T10:00:00"/>
    <n v="30"/>
    <n v="2"/>
    <s v="Yes"/>
    <n v="55.000000000000043"/>
    <x v="0"/>
    <n v="1"/>
    <s v="Moderate"/>
    <s v="Dissatisfied"/>
    <n v="1"/>
    <n v="0"/>
    <n v="1"/>
  </r>
  <r>
    <s v="TCKT048"/>
    <x v="15"/>
    <s v="AG002"/>
    <x v="1"/>
    <x v="1"/>
    <x v="2"/>
    <s v="Existing"/>
    <x v="2"/>
    <d v="1899-12-30T10:30:00"/>
    <d v="1899-12-30T11:20:00"/>
    <n v="60"/>
    <n v="5"/>
    <s v="No"/>
    <n v="49.999999999999986"/>
    <x v="1"/>
    <n v="0"/>
    <s v="Moderate"/>
    <s v="Satisfied"/>
    <n v="0"/>
    <n v="1"/>
    <n v="5"/>
  </r>
  <r>
    <s v="TCKT049"/>
    <x v="15"/>
    <s v="AG005"/>
    <x v="4"/>
    <x v="2"/>
    <x v="0"/>
    <s v="New"/>
    <x v="0"/>
    <d v="1899-12-30T12:25:00"/>
    <d v="1899-12-30T13:20:00"/>
    <n v="30"/>
    <n v="2"/>
    <s v="Yes"/>
    <n v="54.999999999999964"/>
    <x v="0"/>
    <n v="1"/>
    <s v="Moderate"/>
    <s v="Dissatisfied"/>
    <n v="1"/>
    <n v="0"/>
    <n v="1"/>
  </r>
  <r>
    <s v="TCKT050"/>
    <x v="16"/>
    <s v="AG006"/>
    <x v="5"/>
    <x v="0"/>
    <x v="1"/>
    <s v="Existing"/>
    <x v="1"/>
    <d v="1899-12-30T09:15:00"/>
    <d v="1899-12-30T09:55:00"/>
    <n v="40"/>
    <n v="4"/>
    <s v="No"/>
    <n v="39.999999999999936"/>
    <x v="1"/>
    <n v="0"/>
    <s v="Moderate"/>
    <s v="Satisfied"/>
    <n v="0"/>
    <n v="1"/>
    <n v="4"/>
  </r>
  <r>
    <s v="TCKT051"/>
    <x v="16"/>
    <s v="AG003"/>
    <x v="2"/>
    <x v="0"/>
    <x v="0"/>
    <s v="Existing"/>
    <x v="1"/>
    <d v="1899-12-30T10:10:00"/>
    <d v="1899-12-30T10:50:00"/>
    <n v="40"/>
    <n v="4"/>
    <s v="No"/>
    <n v="40.000000000000014"/>
    <x v="1"/>
    <n v="0"/>
    <s v="Moderate"/>
    <s v="Satisfied"/>
    <n v="0"/>
    <n v="1"/>
    <n v="4"/>
  </r>
  <r>
    <s v="TCKT052"/>
    <x v="16"/>
    <s v="AG004"/>
    <x v="3"/>
    <x v="2"/>
    <x v="0"/>
    <s v="New"/>
    <x v="0"/>
    <d v="1899-12-30T11:30:00"/>
    <d v="1899-12-30T12:25:00"/>
    <n v="30"/>
    <n v="2"/>
    <s v="Yes"/>
    <n v="55.000000000000043"/>
    <x v="0"/>
    <n v="1"/>
    <s v="Moderate"/>
    <s v="Dissatisfied"/>
    <n v="1"/>
    <n v="0"/>
    <n v="1"/>
  </r>
  <r>
    <s v="TCKT053"/>
    <x v="17"/>
    <s v="AG001"/>
    <x v="0"/>
    <x v="0"/>
    <x v="2"/>
    <s v="Existing"/>
    <x v="2"/>
    <d v="1899-12-30T09:00:00"/>
    <d v="1899-12-30T09:55:00"/>
    <n v="60"/>
    <n v="5"/>
    <s v="No"/>
    <n v="54.999999999999964"/>
    <x v="1"/>
    <n v="0"/>
    <s v="Moderate"/>
    <s v="Satisfied"/>
    <n v="0"/>
    <n v="1"/>
    <n v="5"/>
  </r>
  <r>
    <s v="TCKT054"/>
    <x v="17"/>
    <s v="AG002"/>
    <x v="1"/>
    <x v="1"/>
    <x v="1"/>
    <s v="Existing"/>
    <x v="1"/>
    <d v="1899-12-30T10:20:00"/>
    <d v="1899-12-30T11:00:00"/>
    <n v="40"/>
    <n v="4"/>
    <s v="No"/>
    <n v="39.999999999999936"/>
    <x v="1"/>
    <n v="0"/>
    <s v="Moderate"/>
    <s v="Satisfied"/>
    <n v="0"/>
    <n v="1"/>
    <n v="4"/>
  </r>
  <r>
    <s v="TCKT055"/>
    <x v="17"/>
    <s v="AG005"/>
    <x v="4"/>
    <x v="2"/>
    <x v="0"/>
    <s v="New"/>
    <x v="0"/>
    <d v="1899-12-30T12:10:00"/>
    <d v="1899-12-30T13:05:00"/>
    <n v="30"/>
    <n v="2"/>
    <s v="Yes"/>
    <n v="54.999999999999964"/>
    <x v="0"/>
    <n v="1"/>
    <s v="Moderate"/>
    <s v="Dissatisfied"/>
    <n v="1"/>
    <n v="0"/>
    <n v="1"/>
  </r>
  <r>
    <s v="TCKT056"/>
    <x v="18"/>
    <s v="AG006"/>
    <x v="5"/>
    <x v="0"/>
    <x v="1"/>
    <s v="Existing"/>
    <x v="1"/>
    <d v="1899-12-30T09:25:00"/>
    <d v="1899-12-30T10:05:00"/>
    <n v="40"/>
    <n v="4"/>
    <s v="No"/>
    <n v="40.000000000000014"/>
    <x v="1"/>
    <n v="0"/>
    <s v="Moderate"/>
    <s v="Satisfied"/>
    <n v="0"/>
    <n v="1"/>
    <n v="4"/>
  </r>
  <r>
    <s v="TCKT057"/>
    <x v="18"/>
    <s v="AG003"/>
    <x v="2"/>
    <x v="0"/>
    <x v="0"/>
    <s v="Existing"/>
    <x v="0"/>
    <d v="1899-12-30T10:45:00"/>
    <d v="1899-12-30T11:40:00"/>
    <n v="30"/>
    <n v="3"/>
    <s v="No"/>
    <n v="54.999999999999964"/>
    <x v="0"/>
    <n v="1"/>
    <s v="Moderate"/>
    <s v="Neutral"/>
    <n v="0"/>
    <n v="0"/>
    <n v="1.5"/>
  </r>
  <r>
    <s v="TCKT058"/>
    <x v="18"/>
    <s v="AG004"/>
    <x v="3"/>
    <x v="2"/>
    <x v="1"/>
    <s v="New"/>
    <x v="1"/>
    <d v="1899-12-30T12:00:00"/>
    <d v="1899-12-30T12:40:00"/>
    <n v="40"/>
    <n v="4"/>
    <s v="No"/>
    <n v="40.000000000000014"/>
    <x v="1"/>
    <n v="0"/>
    <s v="Moderate"/>
    <s v="Satisfied"/>
    <n v="0"/>
    <n v="1"/>
    <n v="4"/>
  </r>
  <r>
    <s v="TCKT059"/>
    <x v="19"/>
    <s v="AG001"/>
    <x v="0"/>
    <x v="0"/>
    <x v="0"/>
    <s v="Existing"/>
    <x v="0"/>
    <d v="1899-12-30T09:05:00"/>
    <d v="1899-12-30T10:00:00"/>
    <n v="30"/>
    <n v="2"/>
    <s v="Yes"/>
    <n v="55.000000000000043"/>
    <x v="0"/>
    <n v="1"/>
    <s v="Moderate"/>
    <s v="Dissatisfied"/>
    <n v="1"/>
    <n v="0"/>
    <n v="1"/>
  </r>
  <r>
    <s v="TCKT060"/>
    <x v="19"/>
    <s v="AG002"/>
    <x v="1"/>
    <x v="1"/>
    <x v="2"/>
    <s v="Existing"/>
    <x v="2"/>
    <d v="1899-12-30T10:30:00"/>
    <d v="1899-12-30T11:20:00"/>
    <n v="60"/>
    <n v="5"/>
    <s v="No"/>
    <n v="49.999999999999986"/>
    <x v="1"/>
    <n v="0"/>
    <s v="Moderate"/>
    <s v="Satisfied"/>
    <n v="0"/>
    <n v="1"/>
    <n v="5"/>
  </r>
  <r>
    <s v="TCKT061"/>
    <x v="19"/>
    <s v="AG005"/>
    <x v="4"/>
    <x v="2"/>
    <x v="0"/>
    <s v="New"/>
    <x v="1"/>
    <d v="1899-12-30T12:15:00"/>
    <d v="1899-12-30T12:55:00"/>
    <n v="40"/>
    <n v="3"/>
    <s v="No"/>
    <n v="40.000000000000014"/>
    <x v="1"/>
    <n v="0"/>
    <s v="Moderate"/>
    <s v="Neutral"/>
    <n v="0"/>
    <n v="1"/>
    <n v="3"/>
  </r>
  <r>
    <s v="TCKT062"/>
    <x v="20"/>
    <s v="AG006"/>
    <x v="5"/>
    <x v="0"/>
    <x v="2"/>
    <s v="Existing"/>
    <x v="2"/>
    <d v="1899-12-30T09:10:00"/>
    <d v="1899-12-30T10:05:00"/>
    <n v="60"/>
    <n v="5"/>
    <s v="No"/>
    <n v="55.000000000000043"/>
    <x v="1"/>
    <n v="0"/>
    <s v="Moderate"/>
    <s v="Satisfied"/>
    <n v="0"/>
    <n v="1"/>
    <n v="5"/>
  </r>
  <r>
    <s v="TCKT063"/>
    <x v="20"/>
    <s v="AG003"/>
    <x v="2"/>
    <x v="0"/>
    <x v="0"/>
    <s v="Existing"/>
    <x v="1"/>
    <d v="1899-12-30T10:35:00"/>
    <d v="1899-12-30T11:15:00"/>
    <n v="40"/>
    <n v="4"/>
    <s v="No"/>
    <n v="40.000000000000014"/>
    <x v="1"/>
    <n v="0"/>
    <s v="Moderate"/>
    <s v="Satisfied"/>
    <n v="0"/>
    <n v="1"/>
    <n v="4"/>
  </r>
  <r>
    <s v="TCKT064"/>
    <x v="20"/>
    <s v="AG004"/>
    <x v="3"/>
    <x v="2"/>
    <x v="0"/>
    <s v="New"/>
    <x v="0"/>
    <d v="1899-12-30T12:10:00"/>
    <d v="1899-12-30T13:05:00"/>
    <n v="30"/>
    <n v="2"/>
    <s v="Yes"/>
    <n v="54.999999999999964"/>
    <x v="0"/>
    <n v="1"/>
    <s v="Moderate"/>
    <s v="Dissatisfied"/>
    <n v="1"/>
    <n v="0"/>
    <n v="1"/>
  </r>
  <r>
    <s v="TCKT065"/>
    <x v="21"/>
    <s v="AG001"/>
    <x v="0"/>
    <x v="0"/>
    <x v="1"/>
    <s v="Existing"/>
    <x v="1"/>
    <d v="1899-12-30T09:20:00"/>
    <d v="1899-12-30T10:00:00"/>
    <n v="40"/>
    <n v="4"/>
    <s v="No"/>
    <n v="40.000000000000014"/>
    <x v="1"/>
    <n v="0"/>
    <s v="Moderate"/>
    <s v="Satisfied"/>
    <n v="0"/>
    <n v="1"/>
    <n v="4"/>
  </r>
  <r>
    <s v="TCKT066"/>
    <x v="21"/>
    <s v="AG002"/>
    <x v="1"/>
    <x v="1"/>
    <x v="1"/>
    <s v="New"/>
    <x v="2"/>
    <d v="1899-12-30T10:40:00"/>
    <d v="1899-12-30T11:30:00"/>
    <n v="60"/>
    <n v="5"/>
    <s v="No"/>
    <n v="50.000000000000064"/>
    <x v="1"/>
    <n v="0"/>
    <s v="Moderate"/>
    <s v="Satisfied"/>
    <n v="0"/>
    <n v="1"/>
    <n v="5"/>
  </r>
  <r>
    <s v="TCKT067"/>
    <x v="21"/>
    <s v="AG005"/>
    <x v="4"/>
    <x v="2"/>
    <x v="0"/>
    <s v="New"/>
    <x v="0"/>
    <d v="1899-12-30T12:25:00"/>
    <d v="1899-12-30T13:20:00"/>
    <n v="30"/>
    <n v="2"/>
    <s v="Yes"/>
    <n v="54.999999999999964"/>
    <x v="0"/>
    <n v="1"/>
    <s v="Moderate"/>
    <s v="Dissatisfied"/>
    <n v="1"/>
    <n v="0"/>
    <n v="1"/>
  </r>
  <r>
    <s v="TCKT068"/>
    <x v="22"/>
    <s v="AG006"/>
    <x v="5"/>
    <x v="0"/>
    <x v="0"/>
    <s v="Existing"/>
    <x v="1"/>
    <d v="1899-12-30T09:15:00"/>
    <d v="1899-12-30T09:55:00"/>
    <n v="40"/>
    <n v="4"/>
    <s v="No"/>
    <n v="39.999999999999936"/>
    <x v="1"/>
    <n v="0"/>
    <s v="Moderate"/>
    <s v="Satisfied"/>
    <n v="0"/>
    <n v="1"/>
    <n v="4"/>
  </r>
  <r>
    <s v="TCKT069"/>
    <x v="22"/>
    <s v="AG003"/>
    <x v="2"/>
    <x v="0"/>
    <x v="2"/>
    <s v="Existing"/>
    <x v="2"/>
    <d v="1899-12-30T10:25:00"/>
    <d v="1899-12-30T11:20:00"/>
    <n v="60"/>
    <n v="5"/>
    <s v="No"/>
    <n v="54.999999999999964"/>
    <x v="1"/>
    <n v="0"/>
    <s v="Moderate"/>
    <s v="Satisfied"/>
    <n v="0"/>
    <n v="1"/>
    <n v="5"/>
  </r>
  <r>
    <s v="TCKT070"/>
    <x v="22"/>
    <s v="AG004"/>
    <x v="3"/>
    <x v="2"/>
    <x v="1"/>
    <s v="New"/>
    <x v="1"/>
    <d v="1899-12-30T12:05:00"/>
    <d v="1899-12-30T12:45:00"/>
    <n v="40"/>
    <n v="4"/>
    <s v="No"/>
    <n v="40.000000000000014"/>
    <x v="1"/>
    <n v="0"/>
    <s v="Moderate"/>
    <s v="Satisfied"/>
    <n v="0"/>
    <n v="1"/>
    <n v="4"/>
  </r>
  <r>
    <s v="TCKT071"/>
    <x v="23"/>
    <s v="AG001"/>
    <x v="0"/>
    <x v="0"/>
    <x v="0"/>
    <s v="Existing"/>
    <x v="0"/>
    <d v="1899-12-30T09:00:00"/>
    <d v="1899-12-30T09:55:00"/>
    <n v="30"/>
    <n v="2"/>
    <s v="Yes"/>
    <n v="54.999999999999964"/>
    <x v="0"/>
    <n v="1"/>
    <s v="Moderate"/>
    <s v="Dissatisfied"/>
    <n v="1"/>
    <n v="0"/>
    <n v="1"/>
  </r>
  <r>
    <s v="TCKT072"/>
    <x v="23"/>
    <s v="AG002"/>
    <x v="1"/>
    <x v="1"/>
    <x v="2"/>
    <s v="Existing"/>
    <x v="2"/>
    <d v="1899-12-30T10:30:00"/>
    <d v="1899-12-30T11:25:00"/>
    <n v="60"/>
    <n v="5"/>
    <s v="No"/>
    <n v="54.999999999999964"/>
    <x v="1"/>
    <n v="0"/>
    <s v="Moderate"/>
    <s v="Satisfied"/>
    <n v="0"/>
    <n v="1"/>
    <n v="5"/>
  </r>
  <r>
    <s v="TCKT073"/>
    <x v="23"/>
    <s v="AG005"/>
    <x v="4"/>
    <x v="2"/>
    <x v="0"/>
    <s v="New"/>
    <x v="1"/>
    <d v="1899-12-30T12:10:00"/>
    <d v="1899-12-30T12:50:00"/>
    <n v="40"/>
    <n v="3"/>
    <s v="No"/>
    <n v="40.000000000000014"/>
    <x v="1"/>
    <n v="0"/>
    <s v="Moderate"/>
    <s v="Neutral"/>
    <n v="0"/>
    <n v="1"/>
    <n v="3"/>
  </r>
  <r>
    <s v="TCKT074"/>
    <x v="24"/>
    <s v="AG006"/>
    <x v="5"/>
    <x v="0"/>
    <x v="1"/>
    <s v="Existing"/>
    <x v="1"/>
    <d v="1899-12-30T09:25:00"/>
    <d v="1899-12-30T10:05:00"/>
    <n v="40"/>
    <n v="4"/>
    <s v="No"/>
    <n v="40.000000000000014"/>
    <x v="1"/>
    <n v="0"/>
    <s v="Moderate"/>
    <s v="Satisfied"/>
    <n v="0"/>
    <n v="1"/>
    <n v="4"/>
  </r>
  <r>
    <s v="TCKT075"/>
    <x v="24"/>
    <s v="AG003"/>
    <x v="2"/>
    <x v="0"/>
    <x v="0"/>
    <s v="Existing"/>
    <x v="0"/>
    <d v="1899-12-30T10:40:00"/>
    <d v="1899-12-30T11:35:00"/>
    <n v="30"/>
    <n v="3"/>
    <s v="No"/>
    <n v="55.000000000000043"/>
    <x v="0"/>
    <n v="1"/>
    <s v="Moderate"/>
    <s v="Neutral"/>
    <n v="0"/>
    <n v="0"/>
    <n v="1.5"/>
  </r>
  <r>
    <s v="TCKT076"/>
    <x v="24"/>
    <s v="AG004"/>
    <x v="3"/>
    <x v="2"/>
    <x v="0"/>
    <s v="New"/>
    <x v="0"/>
    <d v="1899-12-30T12:10:00"/>
    <d v="1899-12-30T13:05:00"/>
    <n v="30"/>
    <n v="2"/>
    <s v="Yes"/>
    <n v="54.999999999999964"/>
    <x v="0"/>
    <n v="1"/>
    <s v="Moderate"/>
    <s v="Dissatisfied"/>
    <n v="1"/>
    <n v="0"/>
    <n v="1"/>
  </r>
  <r>
    <s v="TCKT077"/>
    <x v="25"/>
    <s v="AG001"/>
    <x v="0"/>
    <x v="0"/>
    <x v="2"/>
    <s v="Existing"/>
    <x v="2"/>
    <d v="1899-12-30T09:05:00"/>
    <d v="1899-12-30T10:00:00"/>
    <n v="60"/>
    <n v="5"/>
    <s v="No"/>
    <n v="55.000000000000043"/>
    <x v="1"/>
    <n v="0"/>
    <s v="Moderate"/>
    <s v="Satisfied"/>
    <n v="0"/>
    <n v="1"/>
    <n v="5"/>
  </r>
  <r>
    <s v="TCKT078"/>
    <x v="25"/>
    <s v="AG002"/>
    <x v="1"/>
    <x v="1"/>
    <x v="1"/>
    <s v="Existing"/>
    <x v="1"/>
    <d v="1899-12-30T10:20:00"/>
    <d v="1899-12-30T11:00:00"/>
    <n v="40"/>
    <n v="4"/>
    <s v="No"/>
    <n v="39.999999999999936"/>
    <x v="1"/>
    <n v="0"/>
    <s v="Moderate"/>
    <s v="Satisfied"/>
    <n v="0"/>
    <n v="1"/>
    <n v="4"/>
  </r>
  <r>
    <s v="TCKT079"/>
    <x v="25"/>
    <s v="AG005"/>
    <x v="4"/>
    <x v="2"/>
    <x v="0"/>
    <s v="New"/>
    <x v="1"/>
    <d v="1899-12-30T11:35:00"/>
    <d v="1899-12-30T12:20:00"/>
    <n v="40"/>
    <n v="3"/>
    <s v="No"/>
    <n v="44.999999999999922"/>
    <x v="0"/>
    <n v="1"/>
    <s v="Moderate"/>
    <s v="Neutral"/>
    <n v="0"/>
    <n v="0"/>
    <n v="1.5"/>
  </r>
  <r>
    <s v="TCKT080"/>
    <x v="26"/>
    <s v="AG006"/>
    <x v="5"/>
    <x v="0"/>
    <x v="1"/>
    <s v="Existing"/>
    <x v="1"/>
    <d v="1899-12-30T09:15:00"/>
    <d v="1899-12-30T09:55:00"/>
    <n v="40"/>
    <n v="4"/>
    <s v="No"/>
    <n v="39.999999999999936"/>
    <x v="1"/>
    <n v="0"/>
    <s v="Moderate"/>
    <s v="Satisfied"/>
    <n v="0"/>
    <n v="1"/>
    <n v="4"/>
  </r>
  <r>
    <s v="TCKT081"/>
    <x v="26"/>
    <s v="AG003"/>
    <x v="2"/>
    <x v="0"/>
    <x v="0"/>
    <s v="Existing"/>
    <x v="0"/>
    <d v="1899-12-30T10:45:00"/>
    <d v="1899-12-30T11:40:00"/>
    <n v="30"/>
    <n v="3"/>
    <s v="No"/>
    <n v="54.999999999999964"/>
    <x v="0"/>
    <n v="1"/>
    <s v="Moderate"/>
    <s v="Neutral"/>
    <n v="0"/>
    <n v="0"/>
    <n v="1.5"/>
  </r>
  <r>
    <s v="TCKT082"/>
    <x v="26"/>
    <s v="AG004"/>
    <x v="3"/>
    <x v="2"/>
    <x v="1"/>
    <s v="New"/>
    <x v="1"/>
    <d v="1899-12-30T12:00:00"/>
    <d v="1899-12-30T12:40:00"/>
    <n v="40"/>
    <n v="4"/>
    <s v="No"/>
    <n v="40.000000000000014"/>
    <x v="1"/>
    <n v="0"/>
    <s v="Moderate"/>
    <s v="Satisfied"/>
    <n v="0"/>
    <n v="1"/>
    <n v="4"/>
  </r>
  <r>
    <s v="TCKT083"/>
    <x v="27"/>
    <s v="AG001"/>
    <x v="0"/>
    <x v="0"/>
    <x v="0"/>
    <s v="Existing"/>
    <x v="0"/>
    <d v="1899-12-30T09:00:00"/>
    <d v="1899-12-30T09:55:00"/>
    <n v="30"/>
    <n v="2"/>
    <s v="Yes"/>
    <n v="54.999999999999964"/>
    <x v="0"/>
    <n v="1"/>
    <s v="Moderate"/>
    <s v="Dissatisfied"/>
    <n v="1"/>
    <n v="0"/>
    <n v="1"/>
  </r>
  <r>
    <s v="TCKT084"/>
    <x v="27"/>
    <s v="AG002"/>
    <x v="1"/>
    <x v="1"/>
    <x v="2"/>
    <s v="Existing"/>
    <x v="2"/>
    <d v="1899-12-30T10:30:00"/>
    <d v="1899-12-30T11:25:00"/>
    <n v="60"/>
    <n v="5"/>
    <s v="No"/>
    <n v="54.999999999999964"/>
    <x v="1"/>
    <n v="0"/>
    <s v="Moderate"/>
    <s v="Satisfied"/>
    <n v="0"/>
    <n v="1"/>
    <n v="5"/>
  </r>
  <r>
    <s v="TCKT085"/>
    <x v="27"/>
    <s v="AG005"/>
    <x v="4"/>
    <x v="2"/>
    <x v="0"/>
    <s v="New"/>
    <x v="0"/>
    <d v="1899-12-30T12:15:00"/>
    <d v="1899-12-30T13:10:00"/>
    <n v="30"/>
    <n v="2"/>
    <s v="Yes"/>
    <n v="55.000000000000128"/>
    <x v="0"/>
    <n v="1"/>
    <s v="Moderate"/>
    <s v="Dissatisfied"/>
    <n v="1"/>
    <n v="0"/>
    <n v="1"/>
  </r>
  <r>
    <s v="TCKT086"/>
    <x v="28"/>
    <s v="AG006"/>
    <x v="5"/>
    <x v="0"/>
    <x v="2"/>
    <s v="Existing"/>
    <x v="2"/>
    <d v="1899-12-30T09:10:00"/>
    <d v="1899-12-30T10:05:00"/>
    <n v="60"/>
    <n v="5"/>
    <s v="No"/>
    <n v="55.000000000000043"/>
    <x v="1"/>
    <n v="0"/>
    <s v="Moderate"/>
    <s v="Satisfied"/>
    <n v="0"/>
    <n v="1"/>
    <n v="5"/>
  </r>
  <r>
    <s v="TCKT087"/>
    <x v="28"/>
    <s v="AG003"/>
    <x v="2"/>
    <x v="0"/>
    <x v="0"/>
    <s v="Existing"/>
    <x v="1"/>
    <d v="1899-12-30T10:35:00"/>
    <d v="1899-12-30T11:15:00"/>
    <n v="40"/>
    <n v="4"/>
    <s v="No"/>
    <n v="40.000000000000014"/>
    <x v="1"/>
    <n v="0"/>
    <s v="Moderate"/>
    <s v="Satisfied"/>
    <n v="0"/>
    <n v="1"/>
    <n v="4"/>
  </r>
  <r>
    <s v="TCKT088"/>
    <x v="28"/>
    <s v="AG004"/>
    <x v="3"/>
    <x v="2"/>
    <x v="0"/>
    <s v="New"/>
    <x v="0"/>
    <d v="1899-12-30T12:05:00"/>
    <d v="1899-12-30T13:00:00"/>
    <n v="30"/>
    <n v="2"/>
    <s v="Yes"/>
    <n v="54.999999999999964"/>
    <x v="0"/>
    <n v="1"/>
    <s v="Moderate"/>
    <s v="Dissatisfied"/>
    <n v="1"/>
    <n v="0"/>
    <n v="1"/>
  </r>
  <r>
    <s v="TCKT089"/>
    <x v="29"/>
    <s v="AG001"/>
    <x v="0"/>
    <x v="0"/>
    <x v="1"/>
    <s v="Existing"/>
    <x v="1"/>
    <d v="1899-12-30T09:20:00"/>
    <d v="1899-12-30T10:00:00"/>
    <n v="40"/>
    <n v="4"/>
    <s v="No"/>
    <n v="40.000000000000014"/>
    <x v="1"/>
    <n v="0"/>
    <s v="Moderate"/>
    <s v="Satisfied"/>
    <n v="0"/>
    <n v="1"/>
    <n v="4"/>
  </r>
  <r>
    <s v="TCKT090"/>
    <x v="29"/>
    <s v="AG002"/>
    <x v="1"/>
    <x v="1"/>
    <x v="1"/>
    <s v="New"/>
    <x v="2"/>
    <d v="1899-12-30T10:40:00"/>
    <d v="1899-12-30T11:30:00"/>
    <n v="60"/>
    <n v="5"/>
    <s v="No"/>
    <n v="50.000000000000064"/>
    <x v="1"/>
    <n v="0"/>
    <s v="Moderate"/>
    <s v="Satisfied"/>
    <n v="0"/>
    <n v="1"/>
    <n v="5"/>
  </r>
  <r>
    <s v="TCKT091"/>
    <x v="29"/>
    <s v="AG005"/>
    <x v="4"/>
    <x v="2"/>
    <x v="0"/>
    <s v="New"/>
    <x v="1"/>
    <d v="1899-12-30T12:25:00"/>
    <d v="1899-12-30T13:05:00"/>
    <n v="40"/>
    <n v="3"/>
    <s v="No"/>
    <n v="39.999999999999858"/>
    <x v="1"/>
    <n v="0"/>
    <s v="Moderate"/>
    <s v="Neutral"/>
    <n v="0"/>
    <n v="1"/>
    <n v="3"/>
  </r>
  <r>
    <s v="TCKT092"/>
    <x v="30"/>
    <s v="AG006"/>
    <x v="5"/>
    <x v="0"/>
    <x v="0"/>
    <s v="Existing"/>
    <x v="1"/>
    <d v="1899-12-30T09:15:00"/>
    <d v="1899-12-30T09:55:00"/>
    <n v="40"/>
    <n v="4"/>
    <s v="No"/>
    <n v="39.999999999999936"/>
    <x v="1"/>
    <n v="0"/>
    <s v="Moderate"/>
    <s v="Satisfied"/>
    <n v="0"/>
    <n v="1"/>
    <n v="4"/>
  </r>
  <r>
    <s v="TCKT093"/>
    <x v="30"/>
    <s v="AG003"/>
    <x v="2"/>
    <x v="0"/>
    <x v="2"/>
    <s v="Existing"/>
    <x v="2"/>
    <d v="1899-12-30T10:25:00"/>
    <d v="1899-12-30T11:20:00"/>
    <n v="60"/>
    <n v="5"/>
    <s v="No"/>
    <n v="54.999999999999964"/>
    <x v="1"/>
    <n v="0"/>
    <s v="Moderate"/>
    <s v="Satisfied"/>
    <n v="0"/>
    <n v="1"/>
    <n v="5"/>
  </r>
  <r>
    <s v="TCKT094"/>
    <x v="30"/>
    <s v="AG004"/>
    <x v="3"/>
    <x v="2"/>
    <x v="1"/>
    <s v="New"/>
    <x v="1"/>
    <d v="1899-12-30T12:05:00"/>
    <d v="1899-12-30T12:45:00"/>
    <n v="40"/>
    <n v="4"/>
    <s v="No"/>
    <n v="40.000000000000014"/>
    <x v="1"/>
    <n v="0"/>
    <s v="Moderate"/>
    <s v="Satisfied"/>
    <n v="0"/>
    <n v="1"/>
    <n v="4"/>
  </r>
  <r>
    <s v="TCKT095"/>
    <x v="31"/>
    <s v="AG001"/>
    <x v="0"/>
    <x v="0"/>
    <x v="0"/>
    <s v="Existing"/>
    <x v="0"/>
    <d v="1899-12-30T09:05:00"/>
    <d v="1899-12-30T10:00:00"/>
    <n v="30"/>
    <n v="2"/>
    <s v="Yes"/>
    <n v="55.000000000000043"/>
    <x v="0"/>
    <n v="1"/>
    <s v="Moderate"/>
    <s v="Dissatisfied"/>
    <n v="1"/>
    <n v="0"/>
    <n v="1"/>
  </r>
  <r>
    <s v="TCKT096"/>
    <x v="31"/>
    <s v="AG002"/>
    <x v="1"/>
    <x v="1"/>
    <x v="2"/>
    <s v="Existing"/>
    <x v="2"/>
    <d v="1899-12-30T10:30:00"/>
    <d v="1899-12-30T11:25:00"/>
    <n v="60"/>
    <n v="5"/>
    <s v="No"/>
    <n v="54.999999999999964"/>
    <x v="1"/>
    <n v="0"/>
    <s v="Moderate"/>
    <s v="Satisfied"/>
    <n v="0"/>
    <n v="1"/>
    <n v="5"/>
  </r>
  <r>
    <s v="TCKT097"/>
    <x v="31"/>
    <s v="AG005"/>
    <x v="4"/>
    <x v="2"/>
    <x v="0"/>
    <s v="New"/>
    <x v="0"/>
    <d v="1899-12-30T12:10:00"/>
    <d v="1899-12-30T13:05:00"/>
    <n v="30"/>
    <n v="2"/>
    <s v="Yes"/>
    <n v="54.999999999999964"/>
    <x v="0"/>
    <n v="1"/>
    <s v="Moderate"/>
    <s v="Dissatisfied"/>
    <n v="1"/>
    <n v="0"/>
    <n v="1"/>
  </r>
  <r>
    <s v="TCKT098"/>
    <x v="32"/>
    <s v="AG006"/>
    <x v="5"/>
    <x v="0"/>
    <x v="1"/>
    <s v="Existing"/>
    <x v="1"/>
    <d v="1899-12-30T09:20:00"/>
    <d v="1899-12-30T10:00:00"/>
    <n v="40"/>
    <n v="4"/>
    <s v="No"/>
    <n v="40.000000000000014"/>
    <x v="1"/>
    <n v="0"/>
    <s v="Moderate"/>
    <s v="Satisfied"/>
    <n v="0"/>
    <n v="1"/>
    <n v="4"/>
  </r>
  <r>
    <s v="TCKT099"/>
    <x v="32"/>
    <s v="AG003"/>
    <x v="2"/>
    <x v="0"/>
    <x v="0"/>
    <s v="Existing"/>
    <x v="0"/>
    <d v="1899-12-30T10:40:00"/>
    <d v="1899-12-30T11:35:00"/>
    <n v="30"/>
    <n v="3"/>
    <s v="No"/>
    <n v="55.000000000000043"/>
    <x v="0"/>
    <n v="1"/>
    <s v="Moderate"/>
    <s v="Neutral"/>
    <n v="0"/>
    <n v="0"/>
    <n v="1.5"/>
  </r>
  <r>
    <s v="TCKT100"/>
    <x v="32"/>
    <s v="AG004"/>
    <x v="3"/>
    <x v="2"/>
    <x v="0"/>
    <s v="New"/>
    <x v="0"/>
    <d v="1899-12-30T12:05:00"/>
    <d v="1899-12-30T13:00:00"/>
    <n v="30"/>
    <n v="2"/>
    <s v="Yes"/>
    <n v="54.999999999999964"/>
    <x v="0"/>
    <n v="1"/>
    <s v="Moderate"/>
    <s v="Dissatisfied"/>
    <n v="1"/>
    <n v="0"/>
    <n v="1"/>
  </r>
  <r>
    <s v="TCKT101"/>
    <x v="33"/>
    <s v="AG006"/>
    <x v="5"/>
    <x v="0"/>
    <x v="2"/>
    <s v="Existing"/>
    <x v="2"/>
    <d v="1899-12-30T09:10:00"/>
    <d v="1899-12-30T10:05:00"/>
    <n v="60"/>
    <n v="5"/>
    <s v="No"/>
    <n v="55.000000000000043"/>
    <x v="1"/>
    <n v="0"/>
    <s v="Moderate"/>
    <s v="Satisfied"/>
    <n v="0"/>
    <n v="1"/>
    <n v="5"/>
  </r>
  <r>
    <s v="TCKT102"/>
    <x v="33"/>
    <s v="AG003"/>
    <x v="2"/>
    <x v="0"/>
    <x v="0"/>
    <s v="Existing"/>
    <x v="1"/>
    <d v="1899-12-30T10:35:00"/>
    <d v="1899-12-30T11:20:00"/>
    <n v="40"/>
    <n v="4"/>
    <s v="No"/>
    <n v="45"/>
    <x v="0"/>
    <n v="1"/>
    <s v="Moderate"/>
    <s v="Satisfied"/>
    <n v="0"/>
    <n v="0"/>
    <n v="2"/>
  </r>
  <r>
    <s v="TCKT103"/>
    <x v="33"/>
    <s v="AG004"/>
    <x v="3"/>
    <x v="2"/>
    <x v="0"/>
    <s v="New"/>
    <x v="0"/>
    <d v="1899-12-30T12:05:00"/>
    <d v="1899-12-30T13:00:00"/>
    <n v="30"/>
    <n v="2"/>
    <s v="Yes"/>
    <n v="54.999999999999964"/>
    <x v="0"/>
    <n v="1"/>
    <s v="Moderate"/>
    <s v="Dissatisfied"/>
    <n v="1"/>
    <n v="0"/>
    <n v="1"/>
  </r>
  <r>
    <s v="TCKT104"/>
    <x v="34"/>
    <s v="AG001"/>
    <x v="0"/>
    <x v="0"/>
    <x v="1"/>
    <s v="Existing"/>
    <x v="1"/>
    <d v="1899-12-30T09:20:00"/>
    <d v="1899-12-30T10:00:00"/>
    <n v="40"/>
    <n v="4"/>
    <s v="No"/>
    <n v="40.000000000000014"/>
    <x v="1"/>
    <n v="0"/>
    <s v="Moderate"/>
    <s v="Satisfied"/>
    <n v="0"/>
    <n v="1"/>
    <n v="4"/>
  </r>
  <r>
    <s v="TCKT105"/>
    <x v="34"/>
    <s v="AG002"/>
    <x v="1"/>
    <x v="1"/>
    <x v="2"/>
    <s v="Existing"/>
    <x v="2"/>
    <d v="1899-12-30T10:30:00"/>
    <d v="1899-12-30T11:25:00"/>
    <n v="60"/>
    <n v="5"/>
    <s v="No"/>
    <n v="54.999999999999964"/>
    <x v="1"/>
    <n v="0"/>
    <s v="Moderate"/>
    <s v="Satisfied"/>
    <n v="0"/>
    <n v="1"/>
    <n v="5"/>
  </r>
  <r>
    <s v="TCKT106"/>
    <x v="34"/>
    <s v="AG005"/>
    <x v="4"/>
    <x v="2"/>
    <x v="0"/>
    <s v="New"/>
    <x v="1"/>
    <d v="1899-12-30T12:15:00"/>
    <d v="1899-12-30T12:55:00"/>
    <n v="40"/>
    <n v="3"/>
    <s v="No"/>
    <n v="40.000000000000014"/>
    <x v="1"/>
    <n v="0"/>
    <s v="Moderate"/>
    <s v="Neutral"/>
    <n v="0"/>
    <n v="1"/>
    <n v="3"/>
  </r>
  <r>
    <s v="TCKT107"/>
    <x v="35"/>
    <s v="AG006"/>
    <x v="5"/>
    <x v="0"/>
    <x v="0"/>
    <s v="Existing"/>
    <x v="0"/>
    <d v="1899-12-30T09:05:00"/>
    <d v="1899-12-30T10:00:00"/>
    <n v="30"/>
    <n v="2"/>
    <s v="Yes"/>
    <n v="55.000000000000043"/>
    <x v="0"/>
    <n v="1"/>
    <s v="Moderate"/>
    <s v="Dissatisfied"/>
    <n v="1"/>
    <n v="0"/>
    <n v="1"/>
  </r>
  <r>
    <s v="TCKT108"/>
    <x v="35"/>
    <s v="AG003"/>
    <x v="2"/>
    <x v="0"/>
    <x v="2"/>
    <s v="Existing"/>
    <x v="2"/>
    <d v="1899-12-30T10:25:00"/>
    <d v="1899-12-30T11:20:00"/>
    <n v="60"/>
    <n v="5"/>
    <s v="No"/>
    <n v="54.999999999999964"/>
    <x v="1"/>
    <n v="0"/>
    <s v="Moderate"/>
    <s v="Satisfied"/>
    <n v="0"/>
    <n v="1"/>
    <n v="5"/>
  </r>
  <r>
    <s v="TCKT109"/>
    <x v="35"/>
    <s v="AG004"/>
    <x v="3"/>
    <x v="2"/>
    <x v="1"/>
    <s v="New"/>
    <x v="1"/>
    <d v="1899-12-30T12:05:00"/>
    <d v="1899-12-30T12:45:00"/>
    <n v="40"/>
    <n v="4"/>
    <s v="No"/>
    <n v="40.000000000000014"/>
    <x v="1"/>
    <n v="0"/>
    <s v="Moderate"/>
    <s v="Satisfied"/>
    <n v="0"/>
    <n v="1"/>
    <n v="4"/>
  </r>
  <r>
    <s v="TCKT110"/>
    <x v="36"/>
    <s v="AG001"/>
    <x v="0"/>
    <x v="0"/>
    <x v="0"/>
    <s v="Existing"/>
    <x v="1"/>
    <d v="1899-12-30T09:15:00"/>
    <d v="1899-12-30T09:55:00"/>
    <n v="40"/>
    <n v="4"/>
    <s v="No"/>
    <n v="39.999999999999936"/>
    <x v="1"/>
    <n v="0"/>
    <s v="Moderate"/>
    <s v="Satisfied"/>
    <n v="0"/>
    <n v="1"/>
    <n v="4"/>
  </r>
  <r>
    <s v="TCKT111"/>
    <x v="36"/>
    <s v="AG002"/>
    <x v="1"/>
    <x v="1"/>
    <x v="1"/>
    <s v="New"/>
    <x v="2"/>
    <d v="1899-12-30T10:40:00"/>
    <d v="1899-12-30T11:30:00"/>
    <n v="60"/>
    <n v="5"/>
    <s v="No"/>
    <n v="50.000000000000064"/>
    <x v="1"/>
    <n v="0"/>
    <s v="Moderate"/>
    <s v="Satisfied"/>
    <n v="0"/>
    <n v="1"/>
    <n v="5"/>
  </r>
  <r>
    <s v="TCKT112"/>
    <x v="36"/>
    <s v="AG005"/>
    <x v="4"/>
    <x v="2"/>
    <x v="0"/>
    <s v="New"/>
    <x v="0"/>
    <d v="1899-12-30T12:10:00"/>
    <d v="1899-12-30T13:05:00"/>
    <n v="30"/>
    <n v="2"/>
    <s v="Yes"/>
    <n v="54.999999999999964"/>
    <x v="0"/>
    <n v="1"/>
    <s v="Moderate"/>
    <s v="Dissatisfied"/>
    <n v="1"/>
    <n v="0"/>
    <n v="1"/>
  </r>
  <r>
    <s v="TCKT113"/>
    <x v="37"/>
    <s v="AG006"/>
    <x v="5"/>
    <x v="0"/>
    <x v="1"/>
    <s v="Existing"/>
    <x v="1"/>
    <d v="1899-12-30T09:25:00"/>
    <d v="1899-12-30T10:05:00"/>
    <n v="40"/>
    <n v="4"/>
    <s v="No"/>
    <n v="40.000000000000014"/>
    <x v="1"/>
    <n v="0"/>
    <s v="Moderate"/>
    <s v="Satisfied"/>
    <n v="0"/>
    <n v="1"/>
    <n v="4"/>
  </r>
  <r>
    <s v="TCKT114"/>
    <x v="37"/>
    <s v="AG003"/>
    <x v="2"/>
    <x v="0"/>
    <x v="0"/>
    <s v="Existing"/>
    <x v="0"/>
    <d v="1899-12-30T10:40:00"/>
    <d v="1899-12-30T11:35:00"/>
    <n v="30"/>
    <n v="3"/>
    <s v="No"/>
    <n v="55.000000000000043"/>
    <x v="0"/>
    <n v="1"/>
    <s v="Moderate"/>
    <s v="Neutral"/>
    <n v="0"/>
    <n v="0"/>
    <n v="1.5"/>
  </r>
  <r>
    <s v="TCKT115"/>
    <x v="37"/>
    <s v="AG004"/>
    <x v="3"/>
    <x v="2"/>
    <x v="0"/>
    <s v="New"/>
    <x v="0"/>
    <d v="1899-12-30T12:05:00"/>
    <d v="1899-12-30T13:00:00"/>
    <n v="30"/>
    <n v="2"/>
    <s v="Yes"/>
    <n v="54.999999999999964"/>
    <x v="0"/>
    <n v="1"/>
    <s v="Moderate"/>
    <s v="Dissatisfied"/>
    <n v="1"/>
    <n v="0"/>
    <n v="1"/>
  </r>
  <r>
    <s v="TCKT116"/>
    <x v="38"/>
    <s v="AG001"/>
    <x v="0"/>
    <x v="0"/>
    <x v="2"/>
    <s v="Existing"/>
    <x v="2"/>
    <d v="1899-12-30T09:00:00"/>
    <d v="1899-12-30T09:55:00"/>
    <n v="60"/>
    <n v="5"/>
    <s v="No"/>
    <n v="54.999999999999964"/>
    <x v="1"/>
    <n v="0"/>
    <s v="Moderate"/>
    <s v="Satisfied"/>
    <n v="0"/>
    <n v="1"/>
    <n v="5"/>
  </r>
  <r>
    <s v="TCKT117"/>
    <x v="38"/>
    <s v="AG002"/>
    <x v="1"/>
    <x v="1"/>
    <x v="2"/>
    <s v="Existing"/>
    <x v="2"/>
    <d v="1899-12-30T10:30:00"/>
    <d v="1899-12-30T11:25:00"/>
    <n v="60"/>
    <n v="5"/>
    <s v="No"/>
    <n v="54.999999999999964"/>
    <x v="1"/>
    <n v="0"/>
    <s v="Moderate"/>
    <s v="Satisfied"/>
    <n v="0"/>
    <n v="1"/>
    <n v="5"/>
  </r>
  <r>
    <s v="TCKT118"/>
    <x v="38"/>
    <s v="AG005"/>
    <x v="4"/>
    <x v="2"/>
    <x v="0"/>
    <s v="New"/>
    <x v="1"/>
    <d v="1899-12-30T12:15:00"/>
    <d v="1899-12-30T12:55:00"/>
    <n v="40"/>
    <n v="3"/>
    <s v="No"/>
    <n v="40.000000000000014"/>
    <x v="1"/>
    <n v="0"/>
    <s v="Moderate"/>
    <s v="Neutral"/>
    <n v="0"/>
    <n v="1"/>
    <n v="3"/>
  </r>
  <r>
    <s v="TCKT119"/>
    <x v="39"/>
    <s v="AG006"/>
    <x v="5"/>
    <x v="0"/>
    <x v="0"/>
    <s v="Existing"/>
    <x v="1"/>
    <d v="1899-12-30T09:15:00"/>
    <d v="1899-12-30T09:55:00"/>
    <n v="40"/>
    <n v="4"/>
    <s v="No"/>
    <n v="39.999999999999936"/>
    <x v="1"/>
    <n v="0"/>
    <s v="Moderate"/>
    <s v="Satisfied"/>
    <n v="0"/>
    <n v="1"/>
    <n v="4"/>
  </r>
  <r>
    <s v="TCKT120"/>
    <x v="39"/>
    <s v="AG003"/>
    <x v="2"/>
    <x v="0"/>
    <x v="2"/>
    <s v="Existing"/>
    <x v="2"/>
    <d v="1899-12-30T10:25:00"/>
    <d v="1899-12-30T11:20:00"/>
    <n v="60"/>
    <n v="5"/>
    <s v="No"/>
    <n v="54.999999999999964"/>
    <x v="1"/>
    <n v="0"/>
    <s v="Moderate"/>
    <s v="Satisfied"/>
    <n v="0"/>
    <n v="1"/>
    <n v="5"/>
  </r>
  <r>
    <s v="TCKT121"/>
    <x v="39"/>
    <s v="AG004"/>
    <x v="3"/>
    <x v="2"/>
    <x v="1"/>
    <s v="New"/>
    <x v="1"/>
    <d v="1899-12-30T12:05:00"/>
    <d v="1899-12-30T12:45:00"/>
    <n v="40"/>
    <n v="4"/>
    <s v="No"/>
    <n v="40.000000000000014"/>
    <x v="1"/>
    <n v="0"/>
    <s v="Moderate"/>
    <s v="Satisfied"/>
    <n v="0"/>
    <n v="1"/>
    <n v="4"/>
  </r>
  <r>
    <s v="TCKT122"/>
    <x v="40"/>
    <s v="AG001"/>
    <x v="0"/>
    <x v="0"/>
    <x v="0"/>
    <s v="Existing"/>
    <x v="0"/>
    <d v="1899-12-30T09:05:00"/>
    <d v="1899-12-30T10:00:00"/>
    <n v="30"/>
    <n v="2"/>
    <s v="Yes"/>
    <n v="55.000000000000043"/>
    <x v="0"/>
    <n v="1"/>
    <s v="Moderate"/>
    <s v="Dissatisfied"/>
    <n v="1"/>
    <n v="0"/>
    <n v="1"/>
  </r>
  <r>
    <s v="TCKT123"/>
    <x v="40"/>
    <s v="AG002"/>
    <x v="1"/>
    <x v="1"/>
    <x v="1"/>
    <s v="New"/>
    <x v="2"/>
    <d v="1899-12-30T10:40:00"/>
    <d v="1899-12-30T11:30:00"/>
    <n v="60"/>
    <n v="5"/>
    <s v="No"/>
    <n v="50.000000000000064"/>
    <x v="1"/>
    <n v="0"/>
    <s v="Moderate"/>
    <s v="Satisfied"/>
    <n v="0"/>
    <n v="1"/>
    <n v="5"/>
  </r>
  <r>
    <s v="TCKT124"/>
    <x v="40"/>
    <s v="AG005"/>
    <x v="4"/>
    <x v="2"/>
    <x v="0"/>
    <s v="New"/>
    <x v="0"/>
    <d v="1899-12-30T12:10:00"/>
    <d v="1899-12-30T13:05:00"/>
    <n v="30"/>
    <n v="2"/>
    <s v="Yes"/>
    <n v="54.999999999999964"/>
    <x v="0"/>
    <n v="1"/>
    <s v="Moderate"/>
    <s v="Dissatisfied"/>
    <n v="1"/>
    <n v="0"/>
    <n v="1"/>
  </r>
  <r>
    <s v="TCKT125"/>
    <x v="41"/>
    <s v="AG006"/>
    <x v="5"/>
    <x v="0"/>
    <x v="2"/>
    <s v="Existing"/>
    <x v="2"/>
    <d v="1899-12-30T09:10:00"/>
    <d v="1899-12-30T10:05:00"/>
    <n v="60"/>
    <n v="5"/>
    <s v="No"/>
    <n v="55.000000000000043"/>
    <x v="1"/>
    <n v="0"/>
    <s v="Moderate"/>
    <s v="Satisfied"/>
    <n v="0"/>
    <n v="1"/>
    <n v="5"/>
  </r>
  <r>
    <s v="TCKT126"/>
    <x v="41"/>
    <s v="AG003"/>
    <x v="2"/>
    <x v="0"/>
    <x v="0"/>
    <s v="Existing"/>
    <x v="1"/>
    <d v="1899-12-30T10:35:00"/>
    <d v="1899-12-30T11:20:00"/>
    <n v="40"/>
    <n v="4"/>
    <s v="No"/>
    <n v="45"/>
    <x v="0"/>
    <n v="1"/>
    <s v="Moderate"/>
    <s v="Satisfied"/>
    <n v="0"/>
    <n v="0"/>
    <n v="2"/>
  </r>
  <r>
    <s v="TCKT127"/>
    <x v="41"/>
    <s v="AG004"/>
    <x v="3"/>
    <x v="2"/>
    <x v="0"/>
    <s v="New"/>
    <x v="0"/>
    <d v="1899-12-30T12:05:00"/>
    <d v="1899-12-30T13:00:00"/>
    <n v="30"/>
    <n v="2"/>
    <s v="Yes"/>
    <n v="54.999999999999964"/>
    <x v="0"/>
    <n v="1"/>
    <s v="Moderate"/>
    <s v="Dissatisfied"/>
    <n v="1"/>
    <n v="0"/>
    <n v="1"/>
  </r>
  <r>
    <s v="TCKT128"/>
    <x v="42"/>
    <s v="AG001"/>
    <x v="0"/>
    <x v="0"/>
    <x v="1"/>
    <s v="Existing"/>
    <x v="1"/>
    <d v="1899-12-30T09:20:00"/>
    <d v="1899-12-30T10:00:00"/>
    <n v="40"/>
    <n v="4"/>
    <s v="No"/>
    <n v="40.000000000000014"/>
    <x v="1"/>
    <n v="0"/>
    <s v="Moderate"/>
    <s v="Satisfied"/>
    <n v="0"/>
    <n v="1"/>
    <n v="4"/>
  </r>
  <r>
    <s v="TCKT129"/>
    <x v="42"/>
    <s v="AG002"/>
    <x v="1"/>
    <x v="1"/>
    <x v="2"/>
    <s v="Existing"/>
    <x v="2"/>
    <d v="1899-12-30T10:30:00"/>
    <d v="1899-12-30T11:25:00"/>
    <n v="60"/>
    <n v="5"/>
    <s v="No"/>
    <n v="54.999999999999964"/>
    <x v="1"/>
    <n v="0"/>
    <s v="Moderate"/>
    <s v="Satisfied"/>
    <n v="0"/>
    <n v="1"/>
    <n v="5"/>
  </r>
  <r>
    <s v="TCKT130"/>
    <x v="42"/>
    <s v="AG005"/>
    <x v="4"/>
    <x v="2"/>
    <x v="0"/>
    <s v="New"/>
    <x v="1"/>
    <d v="1899-12-30T12:15:00"/>
    <d v="1899-12-30T12:55:00"/>
    <n v="40"/>
    <n v="3"/>
    <s v="No"/>
    <n v="40.000000000000014"/>
    <x v="1"/>
    <n v="0"/>
    <s v="Moderate"/>
    <s v="Neutral"/>
    <n v="0"/>
    <n v="1"/>
    <n v="3"/>
  </r>
  <r>
    <s v="TCKT131"/>
    <x v="43"/>
    <s v="AG006"/>
    <x v="5"/>
    <x v="0"/>
    <x v="0"/>
    <s v="Existing"/>
    <x v="0"/>
    <d v="1899-12-30T09:05:00"/>
    <d v="1899-12-30T10:00:00"/>
    <n v="30"/>
    <n v="2"/>
    <s v="Yes"/>
    <n v="55.000000000000043"/>
    <x v="0"/>
    <n v="1"/>
    <s v="Moderate"/>
    <s v="Dissatisfied"/>
    <n v="1"/>
    <n v="0"/>
    <n v="1"/>
  </r>
  <r>
    <s v="TCKT132"/>
    <x v="43"/>
    <s v="AG003"/>
    <x v="2"/>
    <x v="0"/>
    <x v="2"/>
    <s v="Existing"/>
    <x v="2"/>
    <d v="1899-12-30T10:25:00"/>
    <d v="1899-12-30T11:20:00"/>
    <n v="60"/>
    <n v="5"/>
    <s v="No"/>
    <n v="54.999999999999964"/>
    <x v="1"/>
    <n v="0"/>
    <s v="Moderate"/>
    <s v="Satisfied"/>
    <n v="0"/>
    <n v="1"/>
    <n v="5"/>
  </r>
  <r>
    <s v="TCKT133"/>
    <x v="43"/>
    <s v="AG004"/>
    <x v="3"/>
    <x v="2"/>
    <x v="1"/>
    <s v="New"/>
    <x v="1"/>
    <d v="1899-12-30T12:05:00"/>
    <d v="1899-12-30T12:45:00"/>
    <n v="40"/>
    <n v="4"/>
    <s v="No"/>
    <n v="40.000000000000014"/>
    <x v="1"/>
    <n v="0"/>
    <s v="Moderate"/>
    <s v="Satisfied"/>
    <n v="0"/>
    <n v="1"/>
    <n v="4"/>
  </r>
  <r>
    <s v="TCKT134"/>
    <x v="44"/>
    <s v="AG001"/>
    <x v="0"/>
    <x v="0"/>
    <x v="0"/>
    <s v="Existing"/>
    <x v="1"/>
    <d v="1899-12-30T09:15:00"/>
    <d v="1899-12-30T09:55:00"/>
    <n v="40"/>
    <n v="4"/>
    <s v="No"/>
    <n v="39.999999999999936"/>
    <x v="1"/>
    <n v="0"/>
    <s v="Moderate"/>
    <s v="Satisfied"/>
    <n v="0"/>
    <n v="1"/>
    <n v="4"/>
  </r>
  <r>
    <s v="TCKT135"/>
    <x v="44"/>
    <s v="AG002"/>
    <x v="1"/>
    <x v="1"/>
    <x v="1"/>
    <s v="New"/>
    <x v="2"/>
    <d v="1899-12-30T10:40:00"/>
    <d v="1899-12-30T11:30:00"/>
    <n v="60"/>
    <n v="5"/>
    <s v="No"/>
    <n v="50.000000000000064"/>
    <x v="1"/>
    <n v="0"/>
    <s v="Moderate"/>
    <s v="Satisfied"/>
    <n v="0"/>
    <n v="1"/>
    <n v="5"/>
  </r>
  <r>
    <s v="TCKT136"/>
    <x v="44"/>
    <s v="AG005"/>
    <x v="4"/>
    <x v="2"/>
    <x v="0"/>
    <s v="New"/>
    <x v="0"/>
    <d v="1899-12-30T12:10:00"/>
    <d v="1899-12-30T13:05:00"/>
    <n v="30"/>
    <n v="2"/>
    <s v="Yes"/>
    <n v="54.999999999999964"/>
    <x v="0"/>
    <n v="1"/>
    <s v="Moderate"/>
    <s v="Dissatisfied"/>
    <n v="1"/>
    <n v="0"/>
    <n v="1"/>
  </r>
  <r>
    <s v="TCKT137"/>
    <x v="45"/>
    <s v="AG006"/>
    <x v="5"/>
    <x v="0"/>
    <x v="2"/>
    <s v="Existing"/>
    <x v="2"/>
    <d v="1899-12-30T09:10:00"/>
    <d v="1899-12-30T10:05:00"/>
    <n v="60"/>
    <n v="5"/>
    <s v="No"/>
    <n v="55.000000000000043"/>
    <x v="1"/>
    <n v="0"/>
    <s v="Moderate"/>
    <s v="Satisfied"/>
    <n v="0"/>
    <n v="1"/>
    <n v="5"/>
  </r>
  <r>
    <s v="TCKT138"/>
    <x v="45"/>
    <s v="AG003"/>
    <x v="2"/>
    <x v="0"/>
    <x v="0"/>
    <s v="Existing"/>
    <x v="1"/>
    <d v="1899-12-30T10:35:00"/>
    <d v="1899-12-30T11:20:00"/>
    <n v="40"/>
    <n v="4"/>
    <s v="No"/>
    <n v="45"/>
    <x v="0"/>
    <n v="1"/>
    <s v="Moderate"/>
    <s v="Satisfied"/>
    <n v="0"/>
    <n v="0"/>
    <n v="2"/>
  </r>
  <r>
    <s v="TCKT139"/>
    <x v="45"/>
    <s v="AG004"/>
    <x v="3"/>
    <x v="2"/>
    <x v="0"/>
    <s v="New"/>
    <x v="0"/>
    <d v="1899-12-30T12:05:00"/>
    <d v="1899-12-30T13:00:00"/>
    <n v="30"/>
    <n v="2"/>
    <s v="Yes"/>
    <n v="54.999999999999964"/>
    <x v="0"/>
    <n v="1"/>
    <s v="Moderate"/>
    <s v="Dissatisfied"/>
    <n v="1"/>
    <n v="0"/>
    <n v="1"/>
  </r>
  <r>
    <s v="TCKT140"/>
    <x v="46"/>
    <s v="AG001"/>
    <x v="0"/>
    <x v="0"/>
    <x v="1"/>
    <s v="Existing"/>
    <x v="1"/>
    <d v="1899-12-30T09:20:00"/>
    <d v="1899-12-30T10:00:00"/>
    <n v="40"/>
    <n v="4"/>
    <s v="No"/>
    <n v="40.000000000000014"/>
    <x v="1"/>
    <n v="0"/>
    <s v="Moderate"/>
    <s v="Satisfied"/>
    <n v="0"/>
    <n v="1"/>
    <n v="4"/>
  </r>
  <r>
    <s v="TCKT141"/>
    <x v="46"/>
    <s v="AG002"/>
    <x v="1"/>
    <x v="1"/>
    <x v="2"/>
    <s v="Existing"/>
    <x v="2"/>
    <d v="1899-12-30T10:30:00"/>
    <d v="1899-12-30T11:25:00"/>
    <n v="60"/>
    <n v="5"/>
    <s v="No"/>
    <n v="54.999999999999964"/>
    <x v="1"/>
    <n v="0"/>
    <s v="Moderate"/>
    <s v="Satisfied"/>
    <n v="0"/>
    <n v="1"/>
    <n v="5"/>
  </r>
  <r>
    <s v="TCKT142"/>
    <x v="46"/>
    <s v="AG005"/>
    <x v="4"/>
    <x v="2"/>
    <x v="0"/>
    <s v="New"/>
    <x v="1"/>
    <d v="1899-12-30T12:15:00"/>
    <d v="1899-12-30T12:55:00"/>
    <n v="40"/>
    <n v="3"/>
    <s v="No"/>
    <n v="40.000000000000014"/>
    <x v="1"/>
    <n v="0"/>
    <s v="Moderate"/>
    <s v="Neutral"/>
    <n v="0"/>
    <n v="1"/>
    <n v="3"/>
  </r>
  <r>
    <s v="TCKT143"/>
    <x v="47"/>
    <s v="AG006"/>
    <x v="5"/>
    <x v="0"/>
    <x v="0"/>
    <s v="Existing"/>
    <x v="0"/>
    <d v="1899-12-30T09:05:00"/>
    <d v="1899-12-30T10:00:00"/>
    <n v="30"/>
    <n v="2"/>
    <s v="Yes"/>
    <n v="55.000000000000043"/>
    <x v="0"/>
    <n v="1"/>
    <s v="Moderate"/>
    <s v="Dissatisfied"/>
    <n v="1"/>
    <n v="0"/>
    <n v="1"/>
  </r>
  <r>
    <s v="TCKT144"/>
    <x v="47"/>
    <s v="AG003"/>
    <x v="2"/>
    <x v="0"/>
    <x v="2"/>
    <s v="Existing"/>
    <x v="2"/>
    <d v="1899-12-30T10:25:00"/>
    <d v="1899-12-30T11:20:00"/>
    <n v="60"/>
    <n v="5"/>
    <s v="No"/>
    <n v="54.999999999999964"/>
    <x v="1"/>
    <n v="0"/>
    <s v="Moderate"/>
    <s v="Satisfied"/>
    <n v="0"/>
    <n v="1"/>
    <n v="5"/>
  </r>
  <r>
    <s v="TCKT145"/>
    <x v="47"/>
    <s v="AG004"/>
    <x v="3"/>
    <x v="2"/>
    <x v="1"/>
    <s v="New"/>
    <x v="1"/>
    <d v="1899-12-30T12:05:00"/>
    <d v="1899-12-30T12:45:00"/>
    <n v="40"/>
    <n v="4"/>
    <s v="No"/>
    <n v="40.000000000000014"/>
    <x v="1"/>
    <n v="0"/>
    <s v="Moderate"/>
    <s v="Satisfied"/>
    <n v="0"/>
    <n v="1"/>
    <n v="4"/>
  </r>
  <r>
    <s v="TCKT146"/>
    <x v="48"/>
    <s v="AG001"/>
    <x v="0"/>
    <x v="0"/>
    <x v="0"/>
    <s v="Existing"/>
    <x v="1"/>
    <d v="1899-12-30T09:15:00"/>
    <d v="1899-12-30T09:55:00"/>
    <n v="40"/>
    <n v="4"/>
    <s v="No"/>
    <n v="39.999999999999936"/>
    <x v="1"/>
    <n v="0"/>
    <s v="Moderate"/>
    <s v="Satisfied"/>
    <n v="0"/>
    <n v="1"/>
    <n v="4"/>
  </r>
  <r>
    <s v="TCKT147"/>
    <x v="48"/>
    <s v="AG002"/>
    <x v="1"/>
    <x v="1"/>
    <x v="1"/>
    <s v="New"/>
    <x v="2"/>
    <d v="1899-12-30T10:40:00"/>
    <d v="1899-12-30T11:30:00"/>
    <n v="60"/>
    <n v="5"/>
    <s v="No"/>
    <n v="50.000000000000064"/>
    <x v="1"/>
    <n v="0"/>
    <s v="Moderate"/>
    <s v="Satisfied"/>
    <n v="0"/>
    <n v="1"/>
    <n v="5"/>
  </r>
  <r>
    <s v="TCKT148"/>
    <x v="48"/>
    <s v="AG005"/>
    <x v="4"/>
    <x v="2"/>
    <x v="0"/>
    <s v="New"/>
    <x v="0"/>
    <d v="1899-12-30T12:10:00"/>
    <d v="1899-12-30T13:05:00"/>
    <n v="30"/>
    <n v="2"/>
    <s v="Yes"/>
    <n v="54.999999999999964"/>
    <x v="0"/>
    <n v="1"/>
    <s v="Moderate"/>
    <s v="Dissatisfied"/>
    <n v="1"/>
    <n v="0"/>
    <n v="1"/>
  </r>
  <r>
    <s v="TCKT149"/>
    <x v="49"/>
    <s v="AG006"/>
    <x v="5"/>
    <x v="0"/>
    <x v="2"/>
    <s v="Existing"/>
    <x v="2"/>
    <d v="1899-12-30T09:10:00"/>
    <d v="1899-12-30T10:05:00"/>
    <n v="60"/>
    <n v="5"/>
    <s v="No"/>
    <n v="55.000000000000043"/>
    <x v="1"/>
    <n v="0"/>
    <s v="Moderate"/>
    <s v="Satisfied"/>
    <n v="0"/>
    <n v="1"/>
    <n v="5"/>
  </r>
  <r>
    <s v="TCKT150"/>
    <x v="49"/>
    <s v="AG003"/>
    <x v="2"/>
    <x v="0"/>
    <x v="0"/>
    <s v="Existing"/>
    <x v="1"/>
    <d v="1899-12-30T10:35:00"/>
    <d v="1899-12-30T11:20:00"/>
    <n v="40"/>
    <n v="4"/>
    <s v="No"/>
    <n v="45"/>
    <x v="0"/>
    <n v="1"/>
    <s v="Moderate"/>
    <s v="Satisfied"/>
    <n v="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975784-3CFD-417E-9FDA-99ED95104C7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iority">
  <location ref="A43:C46" firstHeaderRow="0" firstDataRow="1" firstDataCol="1"/>
  <pivotFields count="22">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4">
        <item x="1"/>
        <item x="2"/>
        <item x="0"/>
        <item t="default"/>
      </items>
    </pivotField>
    <pivotField showAll="0">
      <items count="4">
        <item x="0"/>
        <item x="1"/>
        <item x="2"/>
        <item t="default"/>
      </items>
    </pivotField>
    <pivotField showAll="0"/>
    <pivotField axis="axisRow" showAll="0">
      <items count="4">
        <item x="0"/>
        <item x="1"/>
        <item x="2"/>
        <item t="default"/>
      </items>
    </pivotField>
    <pivotField numFmtId="20" showAll="0"/>
    <pivotField numFmtId="20" showAll="0"/>
    <pivotField showAll="0"/>
    <pivotField showAll="0"/>
    <pivotField showAll="0"/>
    <pivotField numFmtId="1"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3">
    <i>
      <x/>
    </i>
    <i>
      <x v="1"/>
    </i>
    <i>
      <x v="2"/>
    </i>
  </rowItems>
  <colFields count="1">
    <field x="-2"/>
  </colFields>
  <colItems count="2">
    <i>
      <x/>
    </i>
    <i i="1">
      <x v="1"/>
    </i>
  </colItems>
  <dataFields count="2">
    <dataField name="SLA_Breach" fld="15" baseField="0" baseItem="0"/>
    <dataField name="Total_Ticke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394B51-29C0-4E41-AEE1-6078270FEF1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hannel">
  <location ref="A27:B30" firstHeaderRow="1" firstDataRow="1" firstDataCol="1"/>
  <pivotFields count="22">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4">
        <item x="1"/>
        <item x="2"/>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0" showAll="0"/>
    <pivotField numFmtId="20" showAll="0"/>
    <pivotField showAll="0"/>
    <pivotField showAll="0"/>
    <pivotField showAll="0"/>
    <pivotField dataField="1" numFmtI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3">
    <i>
      <x v="2"/>
    </i>
    <i>
      <x/>
    </i>
    <i>
      <x v="1"/>
    </i>
  </rowItems>
  <colItems count="1">
    <i/>
  </colItems>
  <dataFields count="1">
    <dataField name="Average_Resolution_Time_Min" fld="13"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C46284-AD7A-4CD0-A888-BA10BC7EA29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Agent_Name">
  <location ref="A8:B13" firstHeaderRow="1" firstDataRow="1" firstDataCol="1"/>
  <pivotFields count="22">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measureFilter="1" sortType="ascending">
      <items count="7">
        <item x="1"/>
        <item x="5"/>
        <item x="3"/>
        <item x="0"/>
        <item x="4"/>
        <item x="2"/>
        <item t="default"/>
      </items>
    </pivotField>
    <pivotField showAll="0">
      <items count="4">
        <item x="1"/>
        <item x="2"/>
        <item x="0"/>
        <item t="default"/>
      </items>
    </pivotField>
    <pivotField showAll="0">
      <items count="4">
        <item x="0"/>
        <item x="1"/>
        <item x="2"/>
        <item t="default"/>
      </items>
    </pivotField>
    <pivotField showAll="0"/>
    <pivotField showAll="0">
      <items count="4">
        <item x="0"/>
        <item x="1"/>
        <item x="2"/>
        <item t="default"/>
      </items>
    </pivotField>
    <pivotField numFmtId="20" showAll="0"/>
    <pivotField numFmtId="20" showAll="0"/>
    <pivotField showAll="0"/>
    <pivotField showAll="0"/>
    <pivotField showAll="0"/>
    <pivotField numFmtId="1"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5"/>
    </i>
  </rowItems>
  <colItems count="1">
    <i/>
  </colItems>
  <dataFields count="1">
    <dataField name="SLA_Breach_Count" fld="15" subtotal="count" baseField="3"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7C0AF-0A45-48B1-9559-C9215B4D64C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Date">
  <location ref="A51:B53" firstHeaderRow="1" firstDataRow="1" firstDataCol="1"/>
  <pivotFields count="22">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4">
        <item x="1"/>
        <item x="2"/>
        <item x="0"/>
        <item t="default"/>
      </items>
    </pivotField>
    <pivotField showAll="0">
      <items count="4">
        <item x="0"/>
        <item x="1"/>
        <item x="2"/>
        <item t="default"/>
      </items>
    </pivotField>
    <pivotField showAll="0"/>
    <pivotField showAll="0">
      <items count="4">
        <item x="0"/>
        <item x="1"/>
        <item x="2"/>
        <item t="default"/>
      </items>
    </pivotField>
    <pivotField numFmtId="20" showAll="0"/>
    <pivotField numFmtId="20" showAll="0"/>
    <pivotField showAll="0"/>
    <pivotField showAll="0"/>
    <pivotField showAll="0"/>
    <pivotField numFmtId="1"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2">
    <i>
      <x v="1"/>
    </i>
    <i>
      <x v="2"/>
    </i>
  </rowItems>
  <colItems count="1">
    <i/>
  </colItems>
  <dataFields count="1">
    <dataField name="SLA_Breach_Count" fld="15"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41516-DE85-4B0F-947E-A9A5B16C6F7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Process">
  <location ref="A19:C22" firstHeaderRow="0" firstDataRow="1" firstDataCol="1"/>
  <pivotFields count="22">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items count="4">
        <item x="0"/>
        <item x="1"/>
        <item x="2"/>
        <item t="default"/>
      </items>
    </pivotField>
    <pivotField numFmtId="20" showAll="0"/>
    <pivotField numFmtId="20" showAll="0"/>
    <pivotField showAll="0"/>
    <pivotField showAll="0"/>
    <pivotField showAll="0"/>
    <pivotField numFmtId="1"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3">
    <i>
      <x v="2"/>
    </i>
    <i>
      <x v="1"/>
    </i>
    <i>
      <x/>
    </i>
  </rowItems>
  <colFields count="1">
    <field x="-2"/>
  </colFields>
  <colItems count="2">
    <i>
      <x/>
    </i>
    <i i="1">
      <x v="1"/>
    </i>
  </colItems>
  <dataFields count="2">
    <dataField name="SLA_Breaches" fld="15" baseField="4" baseItem="2"/>
    <dataField name="Tickets" fld="0"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C8518-88C4-4162-8C98-2B95D2A39F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2">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4">
        <item x="1"/>
        <item x="2"/>
        <item x="0"/>
        <item t="default"/>
      </items>
    </pivotField>
    <pivotField showAll="0">
      <items count="4">
        <item x="0"/>
        <item x="1"/>
        <item x="2"/>
        <item t="default"/>
      </items>
    </pivotField>
    <pivotField showAll="0"/>
    <pivotField showAll="0">
      <items count="4">
        <item x="0"/>
        <item x="1"/>
        <item x="2"/>
        <item t="default"/>
      </items>
    </pivotField>
    <pivotField numFmtId="20" showAll="0"/>
    <pivotField numFmtId="20" showAll="0"/>
    <pivotField showAll="0"/>
    <pivotField dataField="1" showAll="0"/>
    <pivotField showAll="0"/>
    <pivotField dataField="1" numFmtId="1" showAll="0"/>
    <pivotField showAll="0"/>
    <pivotField dataField="1"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_Tickets" fld="0" subtotal="count" baseField="0" baseItem="0"/>
    <dataField name="SLA_Met" fld="19" baseField="0" baseItem="0"/>
    <dataField name="SLA_Breach" fld="15" baseField="0" baseItem="0"/>
    <dataField name="Average_Resolution_Time_Min" fld="13" subtotal="average" baseField="0" baseItem="1" numFmtId="1"/>
    <dataField name="Average_CSAT_Score" fld="11" subtotal="average" baseField="0" baseItem="1" numFmtId="164"/>
  </dataFields>
  <formats count="1">
    <format dxfId="2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735221-A375-45ED-9E2F-4522C7D8FD7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SLA_Status">
  <location ref="A35:B37" firstHeaderRow="1" firstDataRow="1" firstDataCol="1"/>
  <pivotFields count="22">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4">
        <item x="1"/>
        <item x="2"/>
        <item x="0"/>
        <item t="default"/>
      </items>
    </pivotField>
    <pivotField showAll="0">
      <items count="4">
        <item x="0"/>
        <item x="1"/>
        <item x="2"/>
        <item t="default"/>
      </items>
    </pivotField>
    <pivotField showAll="0"/>
    <pivotField showAll="0">
      <items count="4">
        <item x="0"/>
        <item x="1"/>
        <item x="2"/>
        <item t="default"/>
      </items>
    </pivotField>
    <pivotField numFmtId="20" showAll="0"/>
    <pivotField numFmtId="20" showAll="0"/>
    <pivotField showAll="0"/>
    <pivotField dataField="1" showAll="0"/>
    <pivotField showAll="0"/>
    <pivotField numFmtId="1"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2">
    <i>
      <x v="1"/>
    </i>
    <i>
      <x/>
    </i>
  </rowItems>
  <colItems count="1">
    <i/>
  </colItems>
  <dataFields count="1">
    <dataField name="Average_CSAT_Score" fld="11" subtotal="average" baseField="14" baseItem="0"/>
  </dataFields>
  <formats count="1">
    <format dxfId="22">
      <pivotArea collapsedLevelsAreSubtotals="1" fieldPosition="0">
        <references count="2">
          <reference field="4294967294" count="1" selected="0">
            <x v="0"/>
          </reference>
          <reference field="14" count="0"/>
        </references>
      </pivotArea>
    </format>
  </formats>
  <chartFormats count="2">
    <chartFormat chart="5" format="4"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 xr10:uid="{5DE705F4-B431-4246-987F-647945F2DD7C}" sourceName="Process">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5980197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7C8A88E-3F0C-4A89-8F11-E01FE1C8B163}" sourceName="Channel">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1598019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5350EC3-1C85-433A-BFA4-3B18FF3702F1}" sourceName="Priority">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15980197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AE13D754-0FB1-4851-933D-221879C37325}" sourceName="Agent_Name">
  <extLst>
    <x:ext xmlns:x15="http://schemas.microsoft.com/office/spreadsheetml/2010/11/main" uri="{2F2917AC-EB37-4324-AD4E-5DD8C200BD13}">
      <x15:tableSlicerCache tableId="6"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1" xr10:uid="{BE145B85-0314-44B3-A74F-21C4ACD4187C}" sourceName="Process">
  <extLst>
    <x:ext xmlns:x15="http://schemas.microsoft.com/office/spreadsheetml/2010/11/main" uri="{2F2917AC-EB37-4324-AD4E-5DD8C200BD13}">
      <x15:tableSlicerCache tableId="6"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ucket" xr10:uid="{442366BE-D450-49AC-91B3-84929D3D295D}" sourceName="Performance_Bucket">
  <extLst>
    <x:ext xmlns:x15="http://schemas.microsoft.com/office/spreadsheetml/2010/11/main" uri="{2F2917AC-EB37-4324-AD4E-5DD8C200BD13}">
      <x15:tableSlicerCache tableId="6" column="1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 xr10:uid="{D5F1971B-F7DF-49A6-8214-AC3D7615A4B9}" cache="Slicer_Process" caption="Process" style="SlicerStyleDark1" rowHeight="234950"/>
  <slicer name="Channel" xr10:uid="{C494BD3E-4543-4A7B-9A98-258F2E9A9B6A}" cache="Slicer_Channel" caption="Channel" style="SlicerStyleDark1" rowHeight="234950"/>
  <slicer name="Priority" xr10:uid="{A59559B4-C3F5-4374-9564-44634E1DE442}" cache="Slicer_Priority" caption="Priorit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_Name" xr10:uid="{E67E5321-EA2B-4EEF-BC15-662EC3AC33B9}" cache="Slicer_Agent_Name" caption="Agent_Name" style="SlicerStyleDark1" rowHeight="234950"/>
  <slicer name="Process 1" xr10:uid="{A7AB285D-7823-4414-9BAD-66EF28C39BED}" cache="Slicer_Process1" caption="Process" style="SlicerStyleDark1" rowHeight="234950"/>
  <slicer name="Performance_Bucket" xr10:uid="{16BCDAA4-C167-4CD2-9CCD-6CB6556F0440}" cache="Slicer_Performance_Bucket" caption="Performance_Bucke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A5C808-A6A4-4EFC-A053-9159A96D0111}" name="Table1" displayName="Table1" ref="A1:V151" totalsRowShown="0">
  <autoFilter ref="A1:V151" xr:uid="{84A5C808-A6A4-4EFC-A053-9159A96D01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CEACF692-199A-45C6-9895-5D136D6EF76F}" name="Ticket_ID"/>
    <tableColumn id="2" xr3:uid="{FE7E8A1B-B0FC-4F04-A06E-1AD82F17175F}" name="Ticket_Date" dataDxfId="34"/>
    <tableColumn id="3" xr3:uid="{47F02466-ADEA-4E25-ABC8-B9FF2C2C8754}" name="Agent_ID"/>
    <tableColumn id="4" xr3:uid="{BE69D71D-A28F-4DEF-B025-1A1A1E4436C2}" name="Agent_Name"/>
    <tableColumn id="5" xr3:uid="{201C3267-E84D-468D-B41B-7A23423E56FD}" name="Process"/>
    <tableColumn id="6" xr3:uid="{C40BAD70-E654-4E11-AF4B-20B6A357497E}" name="Channel"/>
    <tableColumn id="7" xr3:uid="{DE1CD766-FB39-44D6-A331-468DEE4F7175}" name="Customer_Type"/>
    <tableColumn id="8" xr3:uid="{CB9EC62B-E155-48F8-B7F1-23CC154959A5}" name="Priority"/>
    <tableColumn id="9" xr3:uid="{485C2DD6-18DF-4954-950D-4AF2B7B34720}" name="Open_Time" dataDxfId="33"/>
    <tableColumn id="10" xr3:uid="{CAFF18FC-FACF-4609-A1E6-CFB8B4638EE4}" name="Close_Time" dataDxfId="32"/>
    <tableColumn id="11" xr3:uid="{8EBECB7F-3015-4E61-AAC3-4A142AF135D4}" name="SLA_Target_Min"/>
    <tableColumn id="12" xr3:uid="{7B4FED4C-1E67-44FE-8446-6AF7A5B198C8}" name="CSAT_Score"/>
    <tableColumn id="13" xr3:uid="{A497CA01-86D6-47D5-B005-1DFFE50DE8CA}" name="Reopen_Flag"/>
    <tableColumn id="14" xr3:uid="{671FA362-B9C6-418A-8E3C-6CF6074338A9}" name="Resolution_Time_Min" dataDxfId="31">
      <calculatedColumnFormula>(Table1[[#This Row],[Close_Time]]-Table1[[#This Row],[Open_Time]])*1440</calculatedColumnFormula>
    </tableColumn>
    <tableColumn id="15" xr3:uid="{D58B1AF6-8B11-492B-936F-9043D17ACEF8}" name="SLA_Status" dataDxfId="30">
      <calculatedColumnFormula>IF(Table1[[#This Row],[Resolution_Time_Min]]&lt;=Table1[[#This Row],[SLA_Target_Min]],"Met","Breached")</calculatedColumnFormula>
    </tableColumn>
    <tableColumn id="16" xr3:uid="{D7F4330C-574E-4A43-B554-3DDE0F64D082}" name="SLA_Breach_Flag" dataDxfId="29">
      <calculatedColumnFormula>IF(Table1[[#This Row],[SLA_Status]]="Breached",1,0)</calculatedColumnFormula>
    </tableColumn>
    <tableColumn id="17" xr3:uid="{25A36E8B-A1D9-44F8-B074-77939CD65920}" name="Resolution_Bucket" dataDxfId="28">
      <calculatedColumnFormula array="1">_xlfn.IFS(Table1[[#This Row],[Resolution_Time_Min]]&lt;=15,"Very Fast",Table1[[#This Row],[Resolution_Time_Min]]&lt;=30,"Fast",Table1[[#This Row],[Resolution_Time_Min]]&lt;=60,"Moderate",TRUE,"Slow")</calculatedColumnFormula>
    </tableColumn>
    <tableColumn id="18" xr3:uid="{7BA11E33-BB2D-4D05-8A4E-62C175D6E547}" name="CSAT_Bucket" dataDxfId="27">
      <calculatedColumnFormula array="1">_xlfn.IFS(Table1[[#This Row],[CSAT_Score]]&gt;=4,"Satisfied",Table1[[#This Row],[CSAT_Score]]=3,"Neutral",TRUE,"Dissatisfied")</calculatedColumnFormula>
    </tableColumn>
    <tableColumn id="19" xr3:uid="{87BCC6CD-F390-42AE-B1BA-0C28A5FAC467}" name="Reopen_Flag_Num" dataDxfId="26">
      <calculatedColumnFormula>IF(Table1[[#This Row],[Reopen_Flag]]="Yes",1,0)</calculatedColumnFormula>
    </tableColumn>
    <tableColumn id="20" xr3:uid="{285EBE22-95D8-44F9-872B-63458C2F8E5E}" name="SLA_Met_Flag" dataDxfId="25">
      <calculatedColumnFormula>IF(Table1[[#This Row],[SLA_Status]]="Met",1,0)</calculatedColumnFormula>
    </tableColumn>
    <tableColumn id="21" xr3:uid="{283171F4-90F0-49E4-BD53-B30CB2BDE6AB}" name="Agent_Performance_Score" dataDxfId="24">
      <calculatedColumnFormula>IF(Table1[[#This Row],[SLA_Status]]="Met",Table1[[#This Row],[CSAT_Score]]*1,Table1[[#This Row],[CSAT_Score]]*0.5)</calculatedColumnFormula>
    </tableColumn>
    <tableColumn id="22" xr3:uid="{16963ACA-087E-4B7D-B121-FC2AAF0BAC47}" name="Year/Month" dataDxfId="23">
      <calculatedColumnFormula>TEXT(Table1[[#This Row],[Ticket_Date]],"yyyy-mmm")</calculatedColumnFormula>
    </tableColumn>
  </tableColumns>
  <tableStyleInfo name="TableStyleMedium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CD1412-FFB5-432F-8DC8-9F285FB811F6}" name="Table6" displayName="Table6" ref="A1:N7" totalsRowShown="0" headerRowDxfId="20" dataDxfId="19">
  <autoFilter ref="A1:N7" xr:uid="{FECD1412-FFB5-432F-8DC8-9F285FB811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sortState xmlns:xlrd2="http://schemas.microsoft.com/office/spreadsheetml/2017/richdata2" ref="A2:N7">
    <sortCondition ref="M2:M7"/>
  </sortState>
  <tableColumns count="14">
    <tableColumn id="1" xr3:uid="{EDC97A1E-1045-431C-B1A1-2DBC54817B4A}" name="Agent_Name" dataDxfId="18"/>
    <tableColumn id="12" xr3:uid="{229A1F24-F3C4-4800-A209-19DD26CF7FA4}" name="Process" dataDxfId="17">
      <calculatedColumnFormula>_xlfn.XLOOKUP(Table6[[#This Row],[Agent_Name]],Table1[Agent_Name],Table1[Process])</calculatedColumnFormula>
    </tableColumn>
    <tableColumn id="2" xr3:uid="{2F2DAC3E-AF82-4F0B-B30C-CB701DC14059}" name="Total_Tickets_Handled" dataDxfId="16">
      <calculatedColumnFormula>COUNTIF(Table1[Agent_Name],Table6[[#This Row],[Agent_Name]])</calculatedColumnFormula>
    </tableColumn>
    <tableColumn id="3" xr3:uid="{7125EB56-4036-46E0-A16C-BADEFCFBBBFE}" name="SLA_Met_Count" dataDxfId="15">
      <calculatedColumnFormula>COUNTIFS(Table1[Agent_Name],Table6[[#This Row],[Agent_Name]],Table1[SLA_Met_Flag],1)</calculatedColumnFormula>
    </tableColumn>
    <tableColumn id="4" xr3:uid="{899722FC-93C2-4EA2-9134-280CE65D67EE}" name="SLA_Breach_Count" dataDxfId="14">
      <calculatedColumnFormula>COUNTIFS(Table1[Agent_Name],Table6[[#This Row],[Agent_Name]],Table1[SLA_Met_Flag],0)</calculatedColumnFormula>
    </tableColumn>
    <tableColumn id="6" xr3:uid="{62CE097A-2991-4DB1-BB64-76B4A4A2847F}" name="Avg_Resolution_Time_Min" dataDxfId="13">
      <calculatedColumnFormula>AVERAGEIF(Table1[Agent_Name],Table6[[#This Row],[Agent_Name]],Table1[Resolution_Time_Min])</calculatedColumnFormula>
    </tableColumn>
    <tableColumn id="8" xr3:uid="{085C8DE8-2B40-4DFD-82BC-B2288B163382}" name="Avg_CSAT_Score" dataDxfId="12">
      <calculatedColumnFormula>AVERAGEIF(Table1[Agent_Name],Table6[[#This Row],[Agent_Name]],Table1[CSAT_Score])</calculatedColumnFormula>
    </tableColumn>
    <tableColumn id="9" xr3:uid="{675BD880-9826-4C65-8AB6-D55149878F42}" name="Reopen_Rate %" dataDxfId="11">
      <calculatedColumnFormula>SUMIF(Table1[Agent_Name],Table6[[#This Row],[Agent_Name]],Table1[Reopen_Flag_Num])/Table6[[#This Row],[Total_Tickets_Handled]]</calculatedColumnFormula>
    </tableColumn>
    <tableColumn id="13" xr3:uid="{0D5726A7-C629-4B75-808D-95B88F0EAA55}" name="SLA_Score" dataDxfId="10">
      <calculatedColumnFormula>IF(Table6[[#This Row],[Total_Tickets_Handled]]=0,0,(Table6[[#This Row],[SLA_Met_Count]]/Table6[[#This Row],[Total_Tickets_Handled]]))</calculatedColumnFormula>
    </tableColumn>
    <tableColumn id="14" xr3:uid="{EBE75F9E-21F2-4D18-9A64-03A23FD5DC97}" name="CSAT_Score" dataDxfId="9">
      <calculatedColumnFormula>Table6[[#This Row],[Avg_CSAT_Score]]/5</calculatedColumnFormula>
    </tableColumn>
    <tableColumn id="15" xr3:uid="{3F4CB66D-388C-4796-BED6-DBD09E359A73}" name="Productivity_Score" dataDxfId="8">
      <calculatedColumnFormula>Table6[[#This Row],[Total_Tickets_Handled]]/MAX(Table6[Total_Tickets_Handled])</calculatedColumnFormula>
    </tableColumn>
    <tableColumn id="16" xr3:uid="{4C0FFC06-FAE4-4FBD-A857-9A4F666F455B}" name="Reopen_Score" dataDxfId="7">
      <calculatedColumnFormula>1-Table6[[#This Row],[Reopen_Rate %]]</calculatedColumnFormula>
    </tableColumn>
    <tableColumn id="17" xr3:uid="{C87AB642-E707-4ED7-9BDB-E4F695DB51CE}" name="Agent performance score" dataDxfId="6">
      <calculatedColumnFormula>(Table6[[#This Row],[SLA_Score]]*0.4)+(Table6[[#This Row],[CSAT_Score]]*0.3)+(Table6[[#This Row],[Productivity_Score]]*0.2)+(Table6[[#This Row],[Reopen_Score]]*0.1)</calculatedColumnFormula>
    </tableColumn>
    <tableColumn id="18" xr3:uid="{D7BBBD5E-CC19-48F7-A9A2-8BA459814AFE}" name="Performance_Bucket" dataDxfId="5">
      <calculatedColumnFormula array="1">_xlfn.IFS(Table6[[#This Row],[Agent performance score]]&gt;=0.8,"Star Performer",Table6[[#This Row],[Agent performance score]]&gt;=0.6,"Consistent",TRUE,"Needs Coaching")</calculatedColumnFormula>
    </tableColumn>
  </tableColumns>
  <tableStyleInfo name="TableStyleMedium1"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8E9569-C950-4145-B40E-D131AE10BC23}" name="Table7" displayName="Table7" ref="A13:B17" totalsRowShown="0">
  <autoFilter ref="A13:B17" xr:uid="{EB8E9569-C950-4145-B40E-D131AE10BC23}">
    <filterColumn colId="0" hiddenButton="1"/>
    <filterColumn colId="1" hiddenButton="1"/>
  </autoFilter>
  <tableColumns count="2">
    <tableColumn id="1" xr3:uid="{29E33D4D-8BA2-40CB-BBDD-B71BD93B2585}" name="Metric"/>
    <tableColumn id="2" xr3:uid="{1E0226B6-6004-47CE-A02D-AC88B5460E1B}" name="Weight" dataDxfId="4"/>
  </tableColumns>
  <tableStyleInfo name="TableStyleMedium1"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CBA3-3276-4BFB-96E1-2283ED1624DE}">
  <dimension ref="A1:V151"/>
  <sheetViews>
    <sheetView topLeftCell="B1" zoomScale="70" zoomScaleNormal="70" workbookViewId="0">
      <selection activeCell="B2" sqref="B2"/>
    </sheetView>
  </sheetViews>
  <sheetFormatPr defaultRowHeight="14.4" x14ac:dyDescent="0.3"/>
  <cols>
    <col min="1" max="1" width="10.6640625" customWidth="1"/>
    <col min="2" max="2" width="10.88671875" bestFit="1" customWidth="1"/>
    <col min="3" max="3" width="10.6640625" customWidth="1"/>
    <col min="4" max="4" width="13.88671875" customWidth="1"/>
    <col min="5" max="5" width="9.21875" customWidth="1"/>
    <col min="6" max="6" width="9.77734375" customWidth="1"/>
    <col min="7" max="7" width="16.109375" customWidth="1"/>
    <col min="8" max="8" width="9" customWidth="1"/>
    <col min="9" max="9" width="12.5546875" customWidth="1"/>
    <col min="10" max="10" width="12.44140625" customWidth="1"/>
    <col min="11" max="11" width="16.6640625" customWidth="1"/>
    <col min="12" max="12" width="12.88671875" customWidth="1"/>
    <col min="13" max="13" width="13.6640625" customWidth="1"/>
    <col min="14" max="14" width="19.5546875" bestFit="1" customWidth="1"/>
    <col min="15" max="15" width="10.33203125" bestFit="1" customWidth="1"/>
    <col min="16" max="16" width="16.109375" bestFit="1" customWidth="1"/>
    <col min="17" max="17" width="17.88671875" bestFit="1" customWidth="1"/>
    <col min="18" max="18" width="12.5546875" bestFit="1" customWidth="1"/>
    <col min="19" max="19" width="17.44140625" bestFit="1" customWidth="1"/>
    <col min="20" max="20" width="13.109375" bestFit="1" customWidth="1"/>
    <col min="21" max="21" width="24.6640625" bestFit="1" customWidth="1"/>
    <col min="22" max="22" width="11.8867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188</v>
      </c>
      <c r="O1" t="s">
        <v>189</v>
      </c>
      <c r="P1" t="s">
        <v>190</v>
      </c>
      <c r="Q1" t="s">
        <v>191</v>
      </c>
      <c r="R1" t="s">
        <v>192</v>
      </c>
      <c r="S1" t="s">
        <v>193</v>
      </c>
      <c r="T1" t="s">
        <v>194</v>
      </c>
      <c r="U1" t="s">
        <v>195</v>
      </c>
      <c r="V1" t="s">
        <v>216</v>
      </c>
    </row>
    <row r="2" spans="1:22" x14ac:dyDescent="0.3">
      <c r="A2" t="s">
        <v>13</v>
      </c>
      <c r="B2" s="1">
        <v>45292</v>
      </c>
      <c r="C2" t="s">
        <v>14</v>
      </c>
      <c r="D2" t="s">
        <v>15</v>
      </c>
      <c r="E2" t="s">
        <v>16</v>
      </c>
      <c r="F2" t="s">
        <v>17</v>
      </c>
      <c r="G2" t="s">
        <v>18</v>
      </c>
      <c r="H2" t="s">
        <v>19</v>
      </c>
      <c r="I2" s="2">
        <v>0.38541666666666669</v>
      </c>
      <c r="J2" s="2">
        <v>0.41319444444444442</v>
      </c>
      <c r="K2">
        <v>30</v>
      </c>
      <c r="L2">
        <v>3</v>
      </c>
      <c r="M2" t="s">
        <v>20</v>
      </c>
      <c r="N2" s="3">
        <f>(Table1[[#This Row],[Close_Time]]-Table1[[#This Row],[Open_Time]])*1440</f>
        <v>39.999999999999936</v>
      </c>
      <c r="O2" t="str">
        <f>IF(Table1[[#This Row],[Resolution_Time_Min]]&lt;=Table1[[#This Row],[SLA_Target_Min]],"Met","Breached")</f>
        <v>Breached</v>
      </c>
      <c r="P2">
        <f>IF(Table1[[#This Row],[SLA_Status]]="Breached",1,0)</f>
        <v>1</v>
      </c>
      <c r="Q2" t="str" cm="1">
        <f t="array" ref="Q2">_xlfn.IFS(Table1[[#This Row],[Resolution_Time_Min]]&lt;=15,"Very Fast",Table1[[#This Row],[Resolution_Time_Min]]&lt;=30,"Fast",Table1[[#This Row],[Resolution_Time_Min]]&lt;=60,"Moderate",TRUE,"Slow")</f>
        <v>Moderate</v>
      </c>
      <c r="R2" t="str" cm="1">
        <f t="array" ref="R2">_xlfn.IFS(Table1[[#This Row],[CSAT_Score]]&gt;=4,"Satisfied",Table1[[#This Row],[CSAT_Score]]=3,"Neutral",TRUE,"Dissatisfied")</f>
        <v>Neutral</v>
      </c>
      <c r="S2">
        <f>IF(Table1[[#This Row],[Reopen_Flag]]="Yes",1,0)</f>
        <v>0</v>
      </c>
      <c r="T2">
        <f>IF(Table1[[#This Row],[SLA_Status]]="Met",1,0)</f>
        <v>0</v>
      </c>
      <c r="U2">
        <f>IF(Table1[[#This Row],[SLA_Status]]="Met",Table1[[#This Row],[CSAT_Score]]*1,Table1[[#This Row],[CSAT_Score]]*0.5)</f>
        <v>1.5</v>
      </c>
      <c r="V2" t="str">
        <f>TEXT(Table1[[#This Row],[Ticket_Date]],"yyyy-mmm")</f>
        <v>2024-Jan</v>
      </c>
    </row>
    <row r="3" spans="1:22" x14ac:dyDescent="0.3">
      <c r="A3" t="s">
        <v>21</v>
      </c>
      <c r="B3" s="1">
        <v>45292</v>
      </c>
      <c r="C3" t="s">
        <v>22</v>
      </c>
      <c r="D3" t="s">
        <v>23</v>
      </c>
      <c r="E3" t="s">
        <v>24</v>
      </c>
      <c r="F3" t="s">
        <v>25</v>
      </c>
      <c r="G3" t="s">
        <v>26</v>
      </c>
      <c r="H3" t="s">
        <v>27</v>
      </c>
      <c r="I3" s="2">
        <v>0.4201388888888889</v>
      </c>
      <c r="J3" s="2">
        <v>0.43888888888888888</v>
      </c>
      <c r="K3">
        <v>40</v>
      </c>
      <c r="L3">
        <v>4</v>
      </c>
      <c r="M3" t="s">
        <v>20</v>
      </c>
      <c r="N3" s="3">
        <f>(Table1[[#This Row],[Close_Time]]-Table1[[#This Row],[Open_Time]])*1440</f>
        <v>26.999999999999986</v>
      </c>
      <c r="O3" t="str">
        <f>IF(Table1[[#This Row],[Resolution_Time_Min]]&lt;=Table1[[#This Row],[SLA_Target_Min]],"Met","Breached")</f>
        <v>Met</v>
      </c>
      <c r="P3">
        <f>IF(Table1[[#This Row],[SLA_Status]]="Breached",1,0)</f>
        <v>0</v>
      </c>
      <c r="Q3" t="str" cm="1">
        <f t="array" ref="Q3">_xlfn.IFS(Table1[[#This Row],[Resolution_Time_Min]]&lt;=15,"Very Fast",Table1[[#This Row],[Resolution_Time_Min]]&lt;=30,"Fast",Table1[[#This Row],[Resolution_Time_Min]]&lt;=60,"Moderate",TRUE,"Slow")</f>
        <v>Fast</v>
      </c>
      <c r="R3" t="str" cm="1">
        <f t="array" ref="R3">_xlfn.IFS(Table1[[#This Row],[CSAT_Score]]&gt;=4,"Satisfied",Table1[[#This Row],[CSAT_Score]]=3,"Neutral",TRUE,"Dissatisfied")</f>
        <v>Satisfied</v>
      </c>
      <c r="S3">
        <f>IF(Table1[[#This Row],[Reopen_Flag]]="Yes",1,0)</f>
        <v>0</v>
      </c>
      <c r="T3">
        <f>IF(Table1[[#This Row],[SLA_Status]]="Met",1,0)</f>
        <v>1</v>
      </c>
      <c r="U3">
        <f>IF(Table1[[#This Row],[SLA_Status]]="Met",Table1[[#This Row],[CSAT_Score]]*1,Table1[[#This Row],[CSAT_Score]]*0.5)</f>
        <v>4</v>
      </c>
      <c r="V3" t="str">
        <f>TEXT(Table1[[#This Row],[Ticket_Date]],"yyyy-mmm")</f>
        <v>2024-Jan</v>
      </c>
    </row>
    <row r="4" spans="1:22" x14ac:dyDescent="0.3">
      <c r="A4" t="s">
        <v>28</v>
      </c>
      <c r="B4" s="1">
        <v>45292</v>
      </c>
      <c r="C4" t="s">
        <v>29</v>
      </c>
      <c r="D4" t="s">
        <v>30</v>
      </c>
      <c r="E4" t="s">
        <v>16</v>
      </c>
      <c r="F4" t="s">
        <v>31</v>
      </c>
      <c r="G4" t="s">
        <v>18</v>
      </c>
      <c r="H4" t="s">
        <v>32</v>
      </c>
      <c r="I4" s="2">
        <v>0.47222222222222221</v>
      </c>
      <c r="J4" s="2">
        <v>0.50694444444444442</v>
      </c>
      <c r="K4">
        <v>60</v>
      </c>
      <c r="L4">
        <v>5</v>
      </c>
      <c r="M4" t="s">
        <v>20</v>
      </c>
      <c r="N4" s="3">
        <f>(Table1[[#This Row],[Close_Time]]-Table1[[#This Row],[Open_Time]])*1440</f>
        <v>49.999999999999986</v>
      </c>
      <c r="O4" t="str">
        <f>IF(Table1[[#This Row],[Resolution_Time_Min]]&lt;=Table1[[#This Row],[SLA_Target_Min]],"Met","Breached")</f>
        <v>Met</v>
      </c>
      <c r="P4">
        <f>IF(Table1[[#This Row],[SLA_Status]]="Breached",1,0)</f>
        <v>0</v>
      </c>
      <c r="Q4" t="str" cm="1">
        <f t="array" ref="Q4">_xlfn.IFS(Table1[[#This Row],[Resolution_Time_Min]]&lt;=15,"Very Fast",Table1[[#This Row],[Resolution_Time_Min]]&lt;=30,"Fast",Table1[[#This Row],[Resolution_Time_Min]]&lt;=60,"Moderate",TRUE,"Slow")</f>
        <v>Moderate</v>
      </c>
      <c r="R4" t="str" cm="1">
        <f t="array" ref="R4">_xlfn.IFS(Table1[[#This Row],[CSAT_Score]]&gt;=4,"Satisfied",Table1[[#This Row],[CSAT_Score]]=3,"Neutral",TRUE,"Dissatisfied")</f>
        <v>Satisfied</v>
      </c>
      <c r="S4">
        <f>IF(Table1[[#This Row],[Reopen_Flag]]="Yes",1,0)</f>
        <v>0</v>
      </c>
      <c r="T4">
        <f>IF(Table1[[#This Row],[SLA_Status]]="Met",1,0)</f>
        <v>1</v>
      </c>
      <c r="U4">
        <f>IF(Table1[[#This Row],[SLA_Status]]="Met",Table1[[#This Row],[CSAT_Score]]*1,Table1[[#This Row],[CSAT_Score]]*0.5)</f>
        <v>5</v>
      </c>
      <c r="V4" t="str">
        <f>TEXT(Table1[[#This Row],[Ticket_Date]],"yyyy-mmm")</f>
        <v>2024-Jan</v>
      </c>
    </row>
    <row r="5" spans="1:22" x14ac:dyDescent="0.3">
      <c r="A5" t="s">
        <v>33</v>
      </c>
      <c r="B5" s="1">
        <v>45292</v>
      </c>
      <c r="C5" t="s">
        <v>34</v>
      </c>
      <c r="D5" t="s">
        <v>35</v>
      </c>
      <c r="E5" t="s">
        <v>36</v>
      </c>
      <c r="F5" t="s">
        <v>17</v>
      </c>
      <c r="G5" t="s">
        <v>26</v>
      </c>
      <c r="H5" t="s">
        <v>19</v>
      </c>
      <c r="I5" s="2">
        <v>0.40277777777777779</v>
      </c>
      <c r="J5" s="2">
        <v>0.44097222222222221</v>
      </c>
      <c r="K5">
        <v>30</v>
      </c>
      <c r="L5">
        <v>2</v>
      </c>
      <c r="M5" t="s">
        <v>37</v>
      </c>
      <c r="N5" s="3">
        <f>(Table1[[#This Row],[Close_Time]]-Table1[[#This Row],[Open_Time]])*1440</f>
        <v>54.999999999999964</v>
      </c>
      <c r="O5" t="str">
        <f>IF(Table1[[#This Row],[Resolution_Time_Min]]&lt;=Table1[[#This Row],[SLA_Target_Min]],"Met","Breached")</f>
        <v>Breached</v>
      </c>
      <c r="P5">
        <f>IF(Table1[[#This Row],[SLA_Status]]="Breached",1,0)</f>
        <v>1</v>
      </c>
      <c r="Q5" t="str" cm="1">
        <f t="array" ref="Q5">_xlfn.IFS(Table1[[#This Row],[Resolution_Time_Min]]&lt;=15,"Very Fast",Table1[[#This Row],[Resolution_Time_Min]]&lt;=30,"Fast",Table1[[#This Row],[Resolution_Time_Min]]&lt;=60,"Moderate",TRUE,"Slow")</f>
        <v>Moderate</v>
      </c>
      <c r="R5" t="str" cm="1">
        <f t="array" ref="R5">_xlfn.IFS(Table1[[#This Row],[CSAT_Score]]&gt;=4,"Satisfied",Table1[[#This Row],[CSAT_Score]]=3,"Neutral",TRUE,"Dissatisfied")</f>
        <v>Dissatisfied</v>
      </c>
      <c r="S5">
        <f>IF(Table1[[#This Row],[Reopen_Flag]]="Yes",1,0)</f>
        <v>1</v>
      </c>
      <c r="T5">
        <f>IF(Table1[[#This Row],[SLA_Status]]="Met",1,0)</f>
        <v>0</v>
      </c>
      <c r="U5">
        <f>IF(Table1[[#This Row],[SLA_Status]]="Met",Table1[[#This Row],[CSAT_Score]]*1,Table1[[#This Row],[CSAT_Score]]*0.5)</f>
        <v>1</v>
      </c>
      <c r="V5" t="str">
        <f>TEXT(Table1[[#This Row],[Ticket_Date]],"yyyy-mmm")</f>
        <v>2024-Jan</v>
      </c>
    </row>
    <row r="6" spans="1:22" x14ac:dyDescent="0.3">
      <c r="A6" t="s">
        <v>38</v>
      </c>
      <c r="B6" s="1">
        <v>45293</v>
      </c>
      <c r="C6" t="s">
        <v>14</v>
      </c>
      <c r="D6" t="s">
        <v>15</v>
      </c>
      <c r="E6" t="s">
        <v>16</v>
      </c>
      <c r="F6" t="s">
        <v>17</v>
      </c>
      <c r="G6" t="s">
        <v>18</v>
      </c>
      <c r="H6" t="s">
        <v>27</v>
      </c>
      <c r="I6" s="2">
        <v>0.4236111111111111</v>
      </c>
      <c r="J6" s="2">
        <v>0.44791666666666669</v>
      </c>
      <c r="K6">
        <v>40</v>
      </c>
      <c r="L6">
        <v>4</v>
      </c>
      <c r="M6" t="s">
        <v>20</v>
      </c>
      <c r="N6" s="3">
        <f>(Table1[[#This Row],[Close_Time]]-Table1[[#This Row],[Open_Time]])*1440</f>
        <v>35.000000000000036</v>
      </c>
      <c r="O6" t="str">
        <f>IF(Table1[[#This Row],[Resolution_Time_Min]]&lt;=Table1[[#This Row],[SLA_Target_Min]],"Met","Breached")</f>
        <v>Met</v>
      </c>
      <c r="P6">
        <f>IF(Table1[[#This Row],[SLA_Status]]="Breached",1,0)</f>
        <v>0</v>
      </c>
      <c r="Q6" t="str" cm="1">
        <f t="array" ref="Q6">_xlfn.IFS(Table1[[#This Row],[Resolution_Time_Min]]&lt;=15,"Very Fast",Table1[[#This Row],[Resolution_Time_Min]]&lt;=30,"Fast",Table1[[#This Row],[Resolution_Time_Min]]&lt;=60,"Moderate",TRUE,"Slow")</f>
        <v>Moderate</v>
      </c>
      <c r="R6" t="str" cm="1">
        <f t="array" ref="R6">_xlfn.IFS(Table1[[#This Row],[CSAT_Score]]&gt;=4,"Satisfied",Table1[[#This Row],[CSAT_Score]]=3,"Neutral",TRUE,"Dissatisfied")</f>
        <v>Satisfied</v>
      </c>
      <c r="S6">
        <f>IF(Table1[[#This Row],[Reopen_Flag]]="Yes",1,0)</f>
        <v>0</v>
      </c>
      <c r="T6">
        <f>IF(Table1[[#This Row],[SLA_Status]]="Met",1,0)</f>
        <v>1</v>
      </c>
      <c r="U6">
        <f>IF(Table1[[#This Row],[SLA_Status]]="Met",Table1[[#This Row],[CSAT_Score]]*1,Table1[[#This Row],[CSAT_Score]]*0.5)</f>
        <v>4</v>
      </c>
      <c r="V6" t="str">
        <f>TEXT(Table1[[#This Row],[Ticket_Date]],"yyyy-mmm")</f>
        <v>2024-Jan</v>
      </c>
    </row>
    <row r="7" spans="1:22" x14ac:dyDescent="0.3">
      <c r="A7" t="s">
        <v>39</v>
      </c>
      <c r="B7" s="1">
        <v>45293</v>
      </c>
      <c r="C7" t="s">
        <v>22</v>
      </c>
      <c r="D7" t="s">
        <v>23</v>
      </c>
      <c r="E7" t="s">
        <v>24</v>
      </c>
      <c r="F7" t="s">
        <v>25</v>
      </c>
      <c r="G7" t="s">
        <v>18</v>
      </c>
      <c r="H7" t="s">
        <v>32</v>
      </c>
      <c r="I7" s="2">
        <v>0.45833333333333331</v>
      </c>
      <c r="J7" s="2">
        <v>0.49305555555555558</v>
      </c>
      <c r="K7">
        <v>60</v>
      </c>
      <c r="L7">
        <v>5</v>
      </c>
      <c r="M7" t="s">
        <v>20</v>
      </c>
      <c r="N7" s="3">
        <f>(Table1[[#This Row],[Close_Time]]-Table1[[#This Row],[Open_Time]])*1440</f>
        <v>50.000000000000064</v>
      </c>
      <c r="O7" t="str">
        <f>IF(Table1[[#This Row],[Resolution_Time_Min]]&lt;=Table1[[#This Row],[SLA_Target_Min]],"Met","Breached")</f>
        <v>Met</v>
      </c>
      <c r="P7">
        <f>IF(Table1[[#This Row],[SLA_Status]]="Breached",1,0)</f>
        <v>0</v>
      </c>
      <c r="Q7" t="str" cm="1">
        <f t="array" ref="Q7">_xlfn.IFS(Table1[[#This Row],[Resolution_Time_Min]]&lt;=15,"Very Fast",Table1[[#This Row],[Resolution_Time_Min]]&lt;=30,"Fast",Table1[[#This Row],[Resolution_Time_Min]]&lt;=60,"Moderate",TRUE,"Slow")</f>
        <v>Moderate</v>
      </c>
      <c r="R7" t="str" cm="1">
        <f t="array" ref="R7">_xlfn.IFS(Table1[[#This Row],[CSAT_Score]]&gt;=4,"Satisfied",Table1[[#This Row],[CSAT_Score]]=3,"Neutral",TRUE,"Dissatisfied")</f>
        <v>Satisfied</v>
      </c>
      <c r="S7">
        <f>IF(Table1[[#This Row],[Reopen_Flag]]="Yes",1,0)</f>
        <v>0</v>
      </c>
      <c r="T7">
        <f>IF(Table1[[#This Row],[SLA_Status]]="Met",1,0)</f>
        <v>1</v>
      </c>
      <c r="U7">
        <f>IF(Table1[[#This Row],[SLA_Status]]="Met",Table1[[#This Row],[CSAT_Score]]*1,Table1[[#This Row],[CSAT_Score]]*0.5)</f>
        <v>5</v>
      </c>
      <c r="V7" t="str">
        <f>TEXT(Table1[[#This Row],[Ticket_Date]],"yyyy-mmm")</f>
        <v>2024-Jan</v>
      </c>
    </row>
    <row r="8" spans="1:22" x14ac:dyDescent="0.3">
      <c r="A8" t="s">
        <v>40</v>
      </c>
      <c r="B8" s="1">
        <v>45293</v>
      </c>
      <c r="C8" t="s">
        <v>41</v>
      </c>
      <c r="D8" t="s">
        <v>42</v>
      </c>
      <c r="E8" t="s">
        <v>36</v>
      </c>
      <c r="F8" t="s">
        <v>17</v>
      </c>
      <c r="G8" t="s">
        <v>26</v>
      </c>
      <c r="H8" t="s">
        <v>19</v>
      </c>
      <c r="I8" s="2">
        <v>0.51041666666666663</v>
      </c>
      <c r="J8" s="2">
        <v>0.54513888888888884</v>
      </c>
      <c r="K8">
        <v>30</v>
      </c>
      <c r="L8">
        <v>2</v>
      </c>
      <c r="M8" t="s">
        <v>37</v>
      </c>
      <c r="N8" s="3">
        <f>(Table1[[#This Row],[Close_Time]]-Table1[[#This Row],[Open_Time]])*1440</f>
        <v>49.999999999999986</v>
      </c>
      <c r="O8" t="str">
        <f>IF(Table1[[#This Row],[Resolution_Time_Min]]&lt;=Table1[[#This Row],[SLA_Target_Min]],"Met","Breached")</f>
        <v>Breached</v>
      </c>
      <c r="P8">
        <f>IF(Table1[[#This Row],[SLA_Status]]="Breached",1,0)</f>
        <v>1</v>
      </c>
      <c r="Q8" t="str" cm="1">
        <f t="array" ref="Q8">_xlfn.IFS(Table1[[#This Row],[Resolution_Time_Min]]&lt;=15,"Very Fast",Table1[[#This Row],[Resolution_Time_Min]]&lt;=30,"Fast",Table1[[#This Row],[Resolution_Time_Min]]&lt;=60,"Moderate",TRUE,"Slow")</f>
        <v>Moderate</v>
      </c>
      <c r="R8" t="str" cm="1">
        <f t="array" ref="R8">_xlfn.IFS(Table1[[#This Row],[CSAT_Score]]&gt;=4,"Satisfied",Table1[[#This Row],[CSAT_Score]]=3,"Neutral",TRUE,"Dissatisfied")</f>
        <v>Dissatisfied</v>
      </c>
      <c r="S8">
        <f>IF(Table1[[#This Row],[Reopen_Flag]]="Yes",1,0)</f>
        <v>1</v>
      </c>
      <c r="T8">
        <f>IF(Table1[[#This Row],[SLA_Status]]="Met",1,0)</f>
        <v>0</v>
      </c>
      <c r="U8">
        <f>IF(Table1[[#This Row],[SLA_Status]]="Met",Table1[[#This Row],[CSAT_Score]]*1,Table1[[#This Row],[CSAT_Score]]*0.5)</f>
        <v>1</v>
      </c>
      <c r="V8" t="str">
        <f>TEXT(Table1[[#This Row],[Ticket_Date]],"yyyy-mmm")</f>
        <v>2024-Jan</v>
      </c>
    </row>
    <row r="9" spans="1:22" x14ac:dyDescent="0.3">
      <c r="A9" t="s">
        <v>43</v>
      </c>
      <c r="B9" s="1">
        <v>45294</v>
      </c>
      <c r="C9" t="s">
        <v>44</v>
      </c>
      <c r="D9" t="s">
        <v>45</v>
      </c>
      <c r="E9" t="s">
        <v>16</v>
      </c>
      <c r="F9" t="s">
        <v>31</v>
      </c>
      <c r="G9" t="s">
        <v>18</v>
      </c>
      <c r="H9" t="s">
        <v>27</v>
      </c>
      <c r="I9" s="2">
        <v>0.39583333333333331</v>
      </c>
      <c r="J9" s="2">
        <v>0.42708333333333331</v>
      </c>
      <c r="K9">
        <v>40</v>
      </c>
      <c r="L9">
        <v>4</v>
      </c>
      <c r="M9" t="s">
        <v>20</v>
      </c>
      <c r="N9" s="3">
        <f>(Table1[[#This Row],[Close_Time]]-Table1[[#This Row],[Open_Time]])*1440</f>
        <v>45</v>
      </c>
      <c r="O9" t="str">
        <f>IF(Table1[[#This Row],[Resolution_Time_Min]]&lt;=Table1[[#This Row],[SLA_Target_Min]],"Met","Breached")</f>
        <v>Breached</v>
      </c>
      <c r="P9">
        <f>IF(Table1[[#This Row],[SLA_Status]]="Breached",1,0)</f>
        <v>1</v>
      </c>
      <c r="Q9" t="str" cm="1">
        <f t="array" ref="Q9">_xlfn.IFS(Table1[[#This Row],[Resolution_Time_Min]]&lt;=15,"Very Fast",Table1[[#This Row],[Resolution_Time_Min]]&lt;=30,"Fast",Table1[[#This Row],[Resolution_Time_Min]]&lt;=60,"Moderate",TRUE,"Slow")</f>
        <v>Moderate</v>
      </c>
      <c r="R9" t="str" cm="1">
        <f t="array" ref="R9">_xlfn.IFS(Table1[[#This Row],[CSAT_Score]]&gt;=4,"Satisfied",Table1[[#This Row],[CSAT_Score]]=3,"Neutral",TRUE,"Dissatisfied")</f>
        <v>Satisfied</v>
      </c>
      <c r="S9">
        <f>IF(Table1[[#This Row],[Reopen_Flag]]="Yes",1,0)</f>
        <v>0</v>
      </c>
      <c r="T9">
        <f>IF(Table1[[#This Row],[SLA_Status]]="Met",1,0)</f>
        <v>0</v>
      </c>
      <c r="U9">
        <f>IF(Table1[[#This Row],[SLA_Status]]="Met",Table1[[#This Row],[CSAT_Score]]*1,Table1[[#This Row],[CSAT_Score]]*0.5)</f>
        <v>2</v>
      </c>
      <c r="V9" t="str">
        <f>TEXT(Table1[[#This Row],[Ticket_Date]],"yyyy-mmm")</f>
        <v>2024-Jan</v>
      </c>
    </row>
    <row r="10" spans="1:22" x14ac:dyDescent="0.3">
      <c r="A10" t="s">
        <v>46</v>
      </c>
      <c r="B10" s="1">
        <v>45294</v>
      </c>
      <c r="C10" t="s">
        <v>29</v>
      </c>
      <c r="D10" t="s">
        <v>30</v>
      </c>
      <c r="E10" t="s">
        <v>16</v>
      </c>
      <c r="F10" t="s">
        <v>17</v>
      </c>
      <c r="G10" t="s">
        <v>18</v>
      </c>
      <c r="H10" t="s">
        <v>19</v>
      </c>
      <c r="I10" s="2">
        <v>0.4513888888888889</v>
      </c>
      <c r="J10" s="2">
        <v>0.4861111111111111</v>
      </c>
      <c r="K10">
        <v>30</v>
      </c>
      <c r="L10">
        <v>3</v>
      </c>
      <c r="M10" t="s">
        <v>20</v>
      </c>
      <c r="N10" s="3">
        <f>(Table1[[#This Row],[Close_Time]]-Table1[[#This Row],[Open_Time]])*1440</f>
        <v>49.999999999999986</v>
      </c>
      <c r="O10" t="str">
        <f>IF(Table1[[#This Row],[Resolution_Time_Min]]&lt;=Table1[[#This Row],[SLA_Target_Min]],"Met","Breached")</f>
        <v>Breached</v>
      </c>
      <c r="P10">
        <f>IF(Table1[[#This Row],[SLA_Status]]="Breached",1,0)</f>
        <v>1</v>
      </c>
      <c r="Q10" t="str" cm="1">
        <f t="array" ref="Q10">_xlfn.IFS(Table1[[#This Row],[Resolution_Time_Min]]&lt;=15,"Very Fast",Table1[[#This Row],[Resolution_Time_Min]]&lt;=30,"Fast",Table1[[#This Row],[Resolution_Time_Min]]&lt;=60,"Moderate",TRUE,"Slow")</f>
        <v>Moderate</v>
      </c>
      <c r="R10" t="str" cm="1">
        <f t="array" ref="R10">_xlfn.IFS(Table1[[#This Row],[CSAT_Score]]&gt;=4,"Satisfied",Table1[[#This Row],[CSAT_Score]]=3,"Neutral",TRUE,"Dissatisfied")</f>
        <v>Neutral</v>
      </c>
      <c r="S10">
        <f>IF(Table1[[#This Row],[Reopen_Flag]]="Yes",1,0)</f>
        <v>0</v>
      </c>
      <c r="T10">
        <f>IF(Table1[[#This Row],[SLA_Status]]="Met",1,0)</f>
        <v>0</v>
      </c>
      <c r="U10">
        <f>IF(Table1[[#This Row],[SLA_Status]]="Met",Table1[[#This Row],[CSAT_Score]]*1,Table1[[#This Row],[CSAT_Score]]*0.5)</f>
        <v>1.5</v>
      </c>
      <c r="V10" t="str">
        <f>TEXT(Table1[[#This Row],[Ticket_Date]],"yyyy-mmm")</f>
        <v>2024-Jan</v>
      </c>
    </row>
    <row r="11" spans="1:22" x14ac:dyDescent="0.3">
      <c r="A11" t="s">
        <v>47</v>
      </c>
      <c r="B11" s="1">
        <v>45294</v>
      </c>
      <c r="C11" t="s">
        <v>34</v>
      </c>
      <c r="D11" t="s">
        <v>35</v>
      </c>
      <c r="E11" t="s">
        <v>36</v>
      </c>
      <c r="F11" t="s">
        <v>25</v>
      </c>
      <c r="G11" t="s">
        <v>26</v>
      </c>
      <c r="H11" t="s">
        <v>27</v>
      </c>
      <c r="I11" s="2">
        <v>0.50347222222222221</v>
      </c>
      <c r="J11" s="2">
        <v>0.52430555555555558</v>
      </c>
      <c r="K11">
        <v>40</v>
      </c>
      <c r="L11">
        <v>4</v>
      </c>
      <c r="M11" t="s">
        <v>20</v>
      </c>
      <c r="N11" s="3">
        <f>(Table1[[#This Row],[Close_Time]]-Table1[[#This Row],[Open_Time]])*1440</f>
        <v>30.000000000000053</v>
      </c>
      <c r="O11" t="str">
        <f>IF(Table1[[#This Row],[Resolution_Time_Min]]&lt;=Table1[[#This Row],[SLA_Target_Min]],"Met","Breached")</f>
        <v>Met</v>
      </c>
      <c r="P11">
        <f>IF(Table1[[#This Row],[SLA_Status]]="Breached",1,0)</f>
        <v>0</v>
      </c>
      <c r="Q11" t="str" cm="1">
        <f t="array" ref="Q11">_xlfn.IFS(Table1[[#This Row],[Resolution_Time_Min]]&lt;=15,"Very Fast",Table1[[#This Row],[Resolution_Time_Min]]&lt;=30,"Fast",Table1[[#This Row],[Resolution_Time_Min]]&lt;=60,"Moderate",TRUE,"Slow")</f>
        <v>Moderate</v>
      </c>
      <c r="R11" t="str" cm="1">
        <f t="array" ref="R11">_xlfn.IFS(Table1[[#This Row],[CSAT_Score]]&gt;=4,"Satisfied",Table1[[#This Row],[CSAT_Score]]=3,"Neutral",TRUE,"Dissatisfied")</f>
        <v>Satisfied</v>
      </c>
      <c r="S11">
        <f>IF(Table1[[#This Row],[Reopen_Flag]]="Yes",1,0)</f>
        <v>0</v>
      </c>
      <c r="T11">
        <f>IF(Table1[[#This Row],[SLA_Status]]="Met",1,0)</f>
        <v>1</v>
      </c>
      <c r="U11">
        <f>IF(Table1[[#This Row],[SLA_Status]]="Met",Table1[[#This Row],[CSAT_Score]]*1,Table1[[#This Row],[CSAT_Score]]*0.5)</f>
        <v>4</v>
      </c>
      <c r="V11" t="str">
        <f>TEXT(Table1[[#This Row],[Ticket_Date]],"yyyy-mmm")</f>
        <v>2024-Jan</v>
      </c>
    </row>
    <row r="12" spans="1:22" x14ac:dyDescent="0.3">
      <c r="A12" t="s">
        <v>48</v>
      </c>
      <c r="B12" s="1">
        <v>45295</v>
      </c>
      <c r="C12" t="s">
        <v>14</v>
      </c>
      <c r="D12" t="s">
        <v>15</v>
      </c>
      <c r="E12" t="s">
        <v>16</v>
      </c>
      <c r="F12" t="s">
        <v>17</v>
      </c>
      <c r="G12" t="s">
        <v>18</v>
      </c>
      <c r="H12" t="s">
        <v>19</v>
      </c>
      <c r="I12" s="2">
        <v>0.3888888888888889</v>
      </c>
      <c r="J12" s="2">
        <v>0.4236111111111111</v>
      </c>
      <c r="K12">
        <v>30</v>
      </c>
      <c r="L12">
        <v>2</v>
      </c>
      <c r="M12" t="s">
        <v>37</v>
      </c>
      <c r="N12" s="3">
        <f>(Table1[[#This Row],[Close_Time]]-Table1[[#This Row],[Open_Time]])*1440</f>
        <v>49.999999999999986</v>
      </c>
      <c r="O12" t="str">
        <f>IF(Table1[[#This Row],[Resolution_Time_Min]]&lt;=Table1[[#This Row],[SLA_Target_Min]],"Met","Breached")</f>
        <v>Breached</v>
      </c>
      <c r="P12">
        <f>IF(Table1[[#This Row],[SLA_Status]]="Breached",1,0)</f>
        <v>1</v>
      </c>
      <c r="Q12" t="str" cm="1">
        <f t="array" ref="Q12">_xlfn.IFS(Table1[[#This Row],[Resolution_Time_Min]]&lt;=15,"Very Fast",Table1[[#This Row],[Resolution_Time_Min]]&lt;=30,"Fast",Table1[[#This Row],[Resolution_Time_Min]]&lt;=60,"Moderate",TRUE,"Slow")</f>
        <v>Moderate</v>
      </c>
      <c r="R12" t="str" cm="1">
        <f t="array" ref="R12">_xlfn.IFS(Table1[[#This Row],[CSAT_Score]]&gt;=4,"Satisfied",Table1[[#This Row],[CSAT_Score]]=3,"Neutral",TRUE,"Dissatisfied")</f>
        <v>Dissatisfied</v>
      </c>
      <c r="S12">
        <f>IF(Table1[[#This Row],[Reopen_Flag]]="Yes",1,0)</f>
        <v>1</v>
      </c>
      <c r="T12">
        <f>IF(Table1[[#This Row],[SLA_Status]]="Met",1,0)</f>
        <v>0</v>
      </c>
      <c r="U12">
        <f>IF(Table1[[#This Row],[SLA_Status]]="Met",Table1[[#This Row],[CSAT_Score]]*1,Table1[[#This Row],[CSAT_Score]]*0.5)</f>
        <v>1</v>
      </c>
      <c r="V12" t="str">
        <f>TEXT(Table1[[#This Row],[Ticket_Date]],"yyyy-mmm")</f>
        <v>2024-Jan</v>
      </c>
    </row>
    <row r="13" spans="1:22" x14ac:dyDescent="0.3">
      <c r="A13" t="s">
        <v>49</v>
      </c>
      <c r="B13" s="1">
        <v>45295</v>
      </c>
      <c r="C13" t="s">
        <v>22</v>
      </c>
      <c r="D13" t="s">
        <v>23</v>
      </c>
      <c r="E13" t="s">
        <v>24</v>
      </c>
      <c r="F13" t="s">
        <v>31</v>
      </c>
      <c r="G13" t="s">
        <v>18</v>
      </c>
      <c r="H13" t="s">
        <v>32</v>
      </c>
      <c r="I13" s="2">
        <v>0.44791666666666669</v>
      </c>
      <c r="J13" s="2">
        <v>0.4861111111111111</v>
      </c>
      <c r="K13">
        <v>60</v>
      </c>
      <c r="L13">
        <v>5</v>
      </c>
      <c r="M13" t="s">
        <v>20</v>
      </c>
      <c r="N13" s="3">
        <f>(Table1[[#This Row],[Close_Time]]-Table1[[#This Row],[Open_Time]])*1440</f>
        <v>54.999999999999964</v>
      </c>
      <c r="O13" t="str">
        <f>IF(Table1[[#This Row],[Resolution_Time_Min]]&lt;=Table1[[#This Row],[SLA_Target_Min]],"Met","Breached")</f>
        <v>Met</v>
      </c>
      <c r="P13">
        <f>IF(Table1[[#This Row],[SLA_Status]]="Breached",1,0)</f>
        <v>0</v>
      </c>
      <c r="Q13" t="str" cm="1">
        <f t="array" ref="Q13">_xlfn.IFS(Table1[[#This Row],[Resolution_Time_Min]]&lt;=15,"Very Fast",Table1[[#This Row],[Resolution_Time_Min]]&lt;=30,"Fast",Table1[[#This Row],[Resolution_Time_Min]]&lt;=60,"Moderate",TRUE,"Slow")</f>
        <v>Moderate</v>
      </c>
      <c r="R13" t="str" cm="1">
        <f t="array" ref="R13">_xlfn.IFS(Table1[[#This Row],[CSAT_Score]]&gt;=4,"Satisfied",Table1[[#This Row],[CSAT_Score]]=3,"Neutral",TRUE,"Dissatisfied")</f>
        <v>Satisfied</v>
      </c>
      <c r="S13">
        <f>IF(Table1[[#This Row],[Reopen_Flag]]="Yes",1,0)</f>
        <v>0</v>
      </c>
      <c r="T13">
        <f>IF(Table1[[#This Row],[SLA_Status]]="Met",1,0)</f>
        <v>1</v>
      </c>
      <c r="U13">
        <f>IF(Table1[[#This Row],[SLA_Status]]="Met",Table1[[#This Row],[CSAT_Score]]*1,Table1[[#This Row],[CSAT_Score]]*0.5)</f>
        <v>5</v>
      </c>
      <c r="V13" t="str">
        <f>TEXT(Table1[[#This Row],[Ticket_Date]],"yyyy-mmm")</f>
        <v>2024-Jan</v>
      </c>
    </row>
    <row r="14" spans="1:22" x14ac:dyDescent="0.3">
      <c r="A14" t="s">
        <v>50</v>
      </c>
      <c r="B14" s="1">
        <v>45295</v>
      </c>
      <c r="C14" t="s">
        <v>41</v>
      </c>
      <c r="D14" t="s">
        <v>42</v>
      </c>
      <c r="E14" t="s">
        <v>36</v>
      </c>
      <c r="F14" t="s">
        <v>17</v>
      </c>
      <c r="G14" t="s">
        <v>26</v>
      </c>
      <c r="H14" t="s">
        <v>27</v>
      </c>
      <c r="I14" s="2">
        <v>0.46875</v>
      </c>
      <c r="J14" s="2">
        <v>0.49652777777777779</v>
      </c>
      <c r="K14">
        <v>40</v>
      </c>
      <c r="L14">
        <v>3</v>
      </c>
      <c r="M14" t="s">
        <v>20</v>
      </c>
      <c r="N14" s="3">
        <f>(Table1[[#This Row],[Close_Time]]-Table1[[#This Row],[Open_Time]])*1440</f>
        <v>40.000000000000014</v>
      </c>
      <c r="O14" t="str">
        <f>IF(Table1[[#This Row],[Resolution_Time_Min]]&lt;=Table1[[#This Row],[SLA_Target_Min]],"Met","Breached")</f>
        <v>Met</v>
      </c>
      <c r="P14">
        <f>IF(Table1[[#This Row],[SLA_Status]]="Breached",1,0)</f>
        <v>0</v>
      </c>
      <c r="Q14" t="str" cm="1">
        <f t="array" ref="Q14">_xlfn.IFS(Table1[[#This Row],[Resolution_Time_Min]]&lt;=15,"Very Fast",Table1[[#This Row],[Resolution_Time_Min]]&lt;=30,"Fast",Table1[[#This Row],[Resolution_Time_Min]]&lt;=60,"Moderate",TRUE,"Slow")</f>
        <v>Moderate</v>
      </c>
      <c r="R14" t="str" cm="1">
        <f t="array" ref="R14">_xlfn.IFS(Table1[[#This Row],[CSAT_Score]]&gt;=4,"Satisfied",Table1[[#This Row],[CSAT_Score]]=3,"Neutral",TRUE,"Dissatisfied")</f>
        <v>Neutral</v>
      </c>
      <c r="S14">
        <f>IF(Table1[[#This Row],[Reopen_Flag]]="Yes",1,0)</f>
        <v>0</v>
      </c>
      <c r="T14">
        <f>IF(Table1[[#This Row],[SLA_Status]]="Met",1,0)</f>
        <v>1</v>
      </c>
      <c r="U14">
        <f>IF(Table1[[#This Row],[SLA_Status]]="Met",Table1[[#This Row],[CSAT_Score]]*1,Table1[[#This Row],[CSAT_Score]]*0.5)</f>
        <v>3</v>
      </c>
      <c r="V14" t="str">
        <f>TEXT(Table1[[#This Row],[Ticket_Date]],"yyyy-mmm")</f>
        <v>2024-Jan</v>
      </c>
    </row>
    <row r="15" spans="1:22" x14ac:dyDescent="0.3">
      <c r="A15" t="s">
        <v>51</v>
      </c>
      <c r="B15" s="1">
        <v>45296</v>
      </c>
      <c r="C15" t="s">
        <v>44</v>
      </c>
      <c r="D15" t="s">
        <v>45</v>
      </c>
      <c r="E15" t="s">
        <v>16</v>
      </c>
      <c r="F15" t="s">
        <v>25</v>
      </c>
      <c r="G15" t="s">
        <v>18</v>
      </c>
      <c r="H15" t="s">
        <v>27</v>
      </c>
      <c r="I15" s="2">
        <v>0.38194444444444442</v>
      </c>
      <c r="J15" s="2">
        <v>0.40972222222222221</v>
      </c>
      <c r="K15">
        <v>40</v>
      </c>
      <c r="L15">
        <v>4</v>
      </c>
      <c r="M15" t="s">
        <v>20</v>
      </c>
      <c r="N15" s="3">
        <f>(Table1[[#This Row],[Close_Time]]-Table1[[#This Row],[Open_Time]])*1440</f>
        <v>40.000000000000014</v>
      </c>
      <c r="O15" t="str">
        <f>IF(Table1[[#This Row],[Resolution_Time_Min]]&lt;=Table1[[#This Row],[SLA_Target_Min]],"Met","Breached")</f>
        <v>Met</v>
      </c>
      <c r="P15">
        <f>IF(Table1[[#This Row],[SLA_Status]]="Breached",1,0)</f>
        <v>0</v>
      </c>
      <c r="Q15" t="str" cm="1">
        <f t="array" ref="Q15">_xlfn.IFS(Table1[[#This Row],[Resolution_Time_Min]]&lt;=15,"Very Fast",Table1[[#This Row],[Resolution_Time_Min]]&lt;=30,"Fast",Table1[[#This Row],[Resolution_Time_Min]]&lt;=60,"Moderate",TRUE,"Slow")</f>
        <v>Moderate</v>
      </c>
      <c r="R15" t="str" cm="1">
        <f t="array" ref="R15">_xlfn.IFS(Table1[[#This Row],[CSAT_Score]]&gt;=4,"Satisfied",Table1[[#This Row],[CSAT_Score]]=3,"Neutral",TRUE,"Dissatisfied")</f>
        <v>Satisfied</v>
      </c>
      <c r="S15">
        <f>IF(Table1[[#This Row],[Reopen_Flag]]="Yes",1,0)</f>
        <v>0</v>
      </c>
      <c r="T15">
        <f>IF(Table1[[#This Row],[SLA_Status]]="Met",1,0)</f>
        <v>1</v>
      </c>
      <c r="U15">
        <f>IF(Table1[[#This Row],[SLA_Status]]="Met",Table1[[#This Row],[CSAT_Score]]*1,Table1[[#This Row],[CSAT_Score]]*0.5)</f>
        <v>4</v>
      </c>
      <c r="V15" t="str">
        <f>TEXT(Table1[[#This Row],[Ticket_Date]],"yyyy-mmm")</f>
        <v>2024-Jan</v>
      </c>
    </row>
    <row r="16" spans="1:22" x14ac:dyDescent="0.3">
      <c r="A16" t="s">
        <v>52</v>
      </c>
      <c r="B16" s="1">
        <v>45296</v>
      </c>
      <c r="C16" t="s">
        <v>29</v>
      </c>
      <c r="D16" t="s">
        <v>30</v>
      </c>
      <c r="E16" t="s">
        <v>16</v>
      </c>
      <c r="F16" t="s">
        <v>31</v>
      </c>
      <c r="G16" t="s">
        <v>18</v>
      </c>
      <c r="H16" t="s">
        <v>32</v>
      </c>
      <c r="I16" s="2">
        <v>0.4375</v>
      </c>
      <c r="J16" s="2">
        <v>0.47569444444444442</v>
      </c>
      <c r="K16">
        <v>60</v>
      </c>
      <c r="L16">
        <v>5</v>
      </c>
      <c r="M16" t="s">
        <v>20</v>
      </c>
      <c r="N16" s="3">
        <f>(Table1[[#This Row],[Close_Time]]-Table1[[#This Row],[Open_Time]])*1440</f>
        <v>54.999999999999964</v>
      </c>
      <c r="O16" t="str">
        <f>IF(Table1[[#This Row],[Resolution_Time_Min]]&lt;=Table1[[#This Row],[SLA_Target_Min]],"Met","Breached")</f>
        <v>Met</v>
      </c>
      <c r="P16">
        <f>IF(Table1[[#This Row],[SLA_Status]]="Breached",1,0)</f>
        <v>0</v>
      </c>
      <c r="Q16" t="str" cm="1">
        <f t="array" ref="Q16">_xlfn.IFS(Table1[[#This Row],[Resolution_Time_Min]]&lt;=15,"Very Fast",Table1[[#This Row],[Resolution_Time_Min]]&lt;=30,"Fast",Table1[[#This Row],[Resolution_Time_Min]]&lt;=60,"Moderate",TRUE,"Slow")</f>
        <v>Moderate</v>
      </c>
      <c r="R16" t="str" cm="1">
        <f t="array" ref="R16">_xlfn.IFS(Table1[[#This Row],[CSAT_Score]]&gt;=4,"Satisfied",Table1[[#This Row],[CSAT_Score]]=3,"Neutral",TRUE,"Dissatisfied")</f>
        <v>Satisfied</v>
      </c>
      <c r="S16">
        <f>IF(Table1[[#This Row],[Reopen_Flag]]="Yes",1,0)</f>
        <v>0</v>
      </c>
      <c r="T16">
        <f>IF(Table1[[#This Row],[SLA_Status]]="Met",1,0)</f>
        <v>1</v>
      </c>
      <c r="U16">
        <f>IF(Table1[[#This Row],[SLA_Status]]="Met",Table1[[#This Row],[CSAT_Score]]*1,Table1[[#This Row],[CSAT_Score]]*0.5)</f>
        <v>5</v>
      </c>
      <c r="V16" t="str">
        <f>TEXT(Table1[[#This Row],[Ticket_Date]],"yyyy-mmm")</f>
        <v>2024-Jan</v>
      </c>
    </row>
    <row r="17" spans="1:22" x14ac:dyDescent="0.3">
      <c r="A17" t="s">
        <v>53</v>
      </c>
      <c r="B17" s="1">
        <v>45296</v>
      </c>
      <c r="C17" t="s">
        <v>34</v>
      </c>
      <c r="D17" t="s">
        <v>35</v>
      </c>
      <c r="E17" t="s">
        <v>36</v>
      </c>
      <c r="F17" t="s">
        <v>17</v>
      </c>
      <c r="G17" t="s">
        <v>26</v>
      </c>
      <c r="H17" t="s">
        <v>19</v>
      </c>
      <c r="I17" s="2">
        <v>0.51388888888888884</v>
      </c>
      <c r="J17" s="2">
        <v>0.55208333333333337</v>
      </c>
      <c r="K17">
        <v>30</v>
      </c>
      <c r="L17">
        <v>2</v>
      </c>
      <c r="M17" t="s">
        <v>37</v>
      </c>
      <c r="N17" s="3">
        <f>(Table1[[#This Row],[Close_Time]]-Table1[[#This Row],[Open_Time]])*1440</f>
        <v>55.000000000000128</v>
      </c>
      <c r="O17" t="str">
        <f>IF(Table1[[#This Row],[Resolution_Time_Min]]&lt;=Table1[[#This Row],[SLA_Target_Min]],"Met","Breached")</f>
        <v>Breached</v>
      </c>
      <c r="P17">
        <f>IF(Table1[[#This Row],[SLA_Status]]="Breached",1,0)</f>
        <v>1</v>
      </c>
      <c r="Q17" t="str" cm="1">
        <f t="array" ref="Q17">_xlfn.IFS(Table1[[#This Row],[Resolution_Time_Min]]&lt;=15,"Very Fast",Table1[[#This Row],[Resolution_Time_Min]]&lt;=30,"Fast",Table1[[#This Row],[Resolution_Time_Min]]&lt;=60,"Moderate",TRUE,"Slow")</f>
        <v>Moderate</v>
      </c>
      <c r="R17" t="str" cm="1">
        <f t="array" ref="R17">_xlfn.IFS(Table1[[#This Row],[CSAT_Score]]&gt;=4,"Satisfied",Table1[[#This Row],[CSAT_Score]]=3,"Neutral",TRUE,"Dissatisfied")</f>
        <v>Dissatisfied</v>
      </c>
      <c r="S17">
        <f>IF(Table1[[#This Row],[Reopen_Flag]]="Yes",1,0)</f>
        <v>1</v>
      </c>
      <c r="T17">
        <f>IF(Table1[[#This Row],[SLA_Status]]="Met",1,0)</f>
        <v>0</v>
      </c>
      <c r="U17">
        <f>IF(Table1[[#This Row],[SLA_Status]]="Met",Table1[[#This Row],[CSAT_Score]]*1,Table1[[#This Row],[CSAT_Score]]*0.5)</f>
        <v>1</v>
      </c>
      <c r="V17" t="str">
        <f>TEXT(Table1[[#This Row],[Ticket_Date]],"yyyy-mmm")</f>
        <v>2024-Jan</v>
      </c>
    </row>
    <row r="18" spans="1:22" x14ac:dyDescent="0.3">
      <c r="A18" t="s">
        <v>54</v>
      </c>
      <c r="B18" s="1">
        <v>45297</v>
      </c>
      <c r="C18" t="s">
        <v>14</v>
      </c>
      <c r="D18" t="s">
        <v>15</v>
      </c>
      <c r="E18" t="s">
        <v>16</v>
      </c>
      <c r="F18" t="s">
        <v>17</v>
      </c>
      <c r="G18" t="s">
        <v>18</v>
      </c>
      <c r="H18" t="s">
        <v>27</v>
      </c>
      <c r="I18" s="2">
        <v>0.40277777777777779</v>
      </c>
      <c r="J18" s="2">
        <v>0.43055555555555558</v>
      </c>
      <c r="K18">
        <v>40</v>
      </c>
      <c r="L18">
        <v>4</v>
      </c>
      <c r="M18" t="s">
        <v>20</v>
      </c>
      <c r="N18" s="3">
        <f>(Table1[[#This Row],[Close_Time]]-Table1[[#This Row],[Open_Time]])*1440</f>
        <v>40.000000000000014</v>
      </c>
      <c r="O18" t="str">
        <f>IF(Table1[[#This Row],[Resolution_Time_Min]]&lt;=Table1[[#This Row],[SLA_Target_Min]],"Met","Breached")</f>
        <v>Met</v>
      </c>
      <c r="P18">
        <f>IF(Table1[[#This Row],[SLA_Status]]="Breached",1,0)</f>
        <v>0</v>
      </c>
      <c r="Q18" t="str" cm="1">
        <f t="array" ref="Q18">_xlfn.IFS(Table1[[#This Row],[Resolution_Time_Min]]&lt;=15,"Very Fast",Table1[[#This Row],[Resolution_Time_Min]]&lt;=30,"Fast",Table1[[#This Row],[Resolution_Time_Min]]&lt;=60,"Moderate",TRUE,"Slow")</f>
        <v>Moderate</v>
      </c>
      <c r="R18" t="str" cm="1">
        <f t="array" ref="R18">_xlfn.IFS(Table1[[#This Row],[CSAT_Score]]&gt;=4,"Satisfied",Table1[[#This Row],[CSAT_Score]]=3,"Neutral",TRUE,"Dissatisfied")</f>
        <v>Satisfied</v>
      </c>
      <c r="S18">
        <f>IF(Table1[[#This Row],[Reopen_Flag]]="Yes",1,0)</f>
        <v>0</v>
      </c>
      <c r="T18">
        <f>IF(Table1[[#This Row],[SLA_Status]]="Met",1,0)</f>
        <v>1</v>
      </c>
      <c r="U18">
        <f>IF(Table1[[#This Row],[SLA_Status]]="Met",Table1[[#This Row],[CSAT_Score]]*1,Table1[[#This Row],[CSAT_Score]]*0.5)</f>
        <v>4</v>
      </c>
      <c r="V18" t="str">
        <f>TEXT(Table1[[#This Row],[Ticket_Date]],"yyyy-mmm")</f>
        <v>2024-Jan</v>
      </c>
    </row>
    <row r="19" spans="1:22" x14ac:dyDescent="0.3">
      <c r="A19" t="s">
        <v>55</v>
      </c>
      <c r="B19" s="1">
        <v>45297</v>
      </c>
      <c r="C19" t="s">
        <v>22</v>
      </c>
      <c r="D19" t="s">
        <v>23</v>
      </c>
      <c r="E19" t="s">
        <v>24</v>
      </c>
      <c r="F19" t="s">
        <v>25</v>
      </c>
      <c r="G19" t="s">
        <v>26</v>
      </c>
      <c r="H19" t="s">
        <v>32</v>
      </c>
      <c r="I19" s="2">
        <v>0.4548611111111111</v>
      </c>
      <c r="J19" s="2">
        <v>0.4861111111111111</v>
      </c>
      <c r="K19">
        <v>60</v>
      </c>
      <c r="L19">
        <v>5</v>
      </c>
      <c r="M19" t="s">
        <v>20</v>
      </c>
      <c r="N19" s="3">
        <f>(Table1[[#This Row],[Close_Time]]-Table1[[#This Row],[Open_Time]])*1440</f>
        <v>45</v>
      </c>
      <c r="O19" t="str">
        <f>IF(Table1[[#This Row],[Resolution_Time_Min]]&lt;=Table1[[#This Row],[SLA_Target_Min]],"Met","Breached")</f>
        <v>Met</v>
      </c>
      <c r="P19">
        <f>IF(Table1[[#This Row],[SLA_Status]]="Breached",1,0)</f>
        <v>0</v>
      </c>
      <c r="Q19" t="str" cm="1">
        <f t="array" ref="Q19">_xlfn.IFS(Table1[[#This Row],[Resolution_Time_Min]]&lt;=15,"Very Fast",Table1[[#This Row],[Resolution_Time_Min]]&lt;=30,"Fast",Table1[[#This Row],[Resolution_Time_Min]]&lt;=60,"Moderate",TRUE,"Slow")</f>
        <v>Moderate</v>
      </c>
      <c r="R19" t="str" cm="1">
        <f t="array" ref="R19">_xlfn.IFS(Table1[[#This Row],[CSAT_Score]]&gt;=4,"Satisfied",Table1[[#This Row],[CSAT_Score]]=3,"Neutral",TRUE,"Dissatisfied")</f>
        <v>Satisfied</v>
      </c>
      <c r="S19">
        <f>IF(Table1[[#This Row],[Reopen_Flag]]="Yes",1,0)</f>
        <v>0</v>
      </c>
      <c r="T19">
        <f>IF(Table1[[#This Row],[SLA_Status]]="Met",1,0)</f>
        <v>1</v>
      </c>
      <c r="U19">
        <f>IF(Table1[[#This Row],[SLA_Status]]="Met",Table1[[#This Row],[CSAT_Score]]*1,Table1[[#This Row],[CSAT_Score]]*0.5)</f>
        <v>5</v>
      </c>
      <c r="V19" t="str">
        <f>TEXT(Table1[[#This Row],[Ticket_Date]],"yyyy-mmm")</f>
        <v>2024-Jan</v>
      </c>
    </row>
    <row r="20" spans="1:22" x14ac:dyDescent="0.3">
      <c r="A20" t="s">
        <v>56</v>
      </c>
      <c r="B20" s="1">
        <v>45297</v>
      </c>
      <c r="C20" t="s">
        <v>41</v>
      </c>
      <c r="D20" t="s">
        <v>42</v>
      </c>
      <c r="E20" t="s">
        <v>36</v>
      </c>
      <c r="F20" t="s">
        <v>17</v>
      </c>
      <c r="G20" t="s">
        <v>26</v>
      </c>
      <c r="H20" t="s">
        <v>19</v>
      </c>
      <c r="I20" s="2">
        <v>0.50694444444444442</v>
      </c>
      <c r="J20" s="2">
        <v>0.54166666666666663</v>
      </c>
      <c r="K20">
        <v>30</v>
      </c>
      <c r="L20">
        <v>2</v>
      </c>
      <c r="M20" t="s">
        <v>37</v>
      </c>
      <c r="N20" s="3">
        <f>(Table1[[#This Row],[Close_Time]]-Table1[[#This Row],[Open_Time]])*1440</f>
        <v>49.999999999999986</v>
      </c>
      <c r="O20" t="str">
        <f>IF(Table1[[#This Row],[Resolution_Time_Min]]&lt;=Table1[[#This Row],[SLA_Target_Min]],"Met","Breached")</f>
        <v>Breached</v>
      </c>
      <c r="P20">
        <f>IF(Table1[[#This Row],[SLA_Status]]="Breached",1,0)</f>
        <v>1</v>
      </c>
      <c r="Q20" t="str" cm="1">
        <f t="array" ref="Q20">_xlfn.IFS(Table1[[#This Row],[Resolution_Time_Min]]&lt;=15,"Very Fast",Table1[[#This Row],[Resolution_Time_Min]]&lt;=30,"Fast",Table1[[#This Row],[Resolution_Time_Min]]&lt;=60,"Moderate",TRUE,"Slow")</f>
        <v>Moderate</v>
      </c>
      <c r="R20" t="str" cm="1">
        <f t="array" ref="R20">_xlfn.IFS(Table1[[#This Row],[CSAT_Score]]&gt;=4,"Satisfied",Table1[[#This Row],[CSAT_Score]]=3,"Neutral",TRUE,"Dissatisfied")</f>
        <v>Dissatisfied</v>
      </c>
      <c r="S20">
        <f>IF(Table1[[#This Row],[Reopen_Flag]]="Yes",1,0)</f>
        <v>1</v>
      </c>
      <c r="T20">
        <f>IF(Table1[[#This Row],[SLA_Status]]="Met",1,0)</f>
        <v>0</v>
      </c>
      <c r="U20">
        <f>IF(Table1[[#This Row],[SLA_Status]]="Met",Table1[[#This Row],[CSAT_Score]]*1,Table1[[#This Row],[CSAT_Score]]*0.5)</f>
        <v>1</v>
      </c>
      <c r="V20" t="str">
        <f>TEXT(Table1[[#This Row],[Ticket_Date]],"yyyy-mmm")</f>
        <v>2024-Jan</v>
      </c>
    </row>
    <row r="21" spans="1:22" x14ac:dyDescent="0.3">
      <c r="A21" t="s">
        <v>57</v>
      </c>
      <c r="B21" s="1">
        <v>45298</v>
      </c>
      <c r="C21" t="s">
        <v>44</v>
      </c>
      <c r="D21" t="s">
        <v>45</v>
      </c>
      <c r="E21" t="s">
        <v>16</v>
      </c>
      <c r="F21" t="s">
        <v>31</v>
      </c>
      <c r="G21" t="s">
        <v>18</v>
      </c>
      <c r="H21" t="s">
        <v>27</v>
      </c>
      <c r="I21" s="2">
        <v>0.39930555555555558</v>
      </c>
      <c r="J21" s="2">
        <v>0.42708333333333331</v>
      </c>
      <c r="K21">
        <v>40</v>
      </c>
      <c r="L21">
        <v>4</v>
      </c>
      <c r="M21" t="s">
        <v>20</v>
      </c>
      <c r="N21" s="3">
        <f>(Table1[[#This Row],[Close_Time]]-Table1[[#This Row],[Open_Time]])*1440</f>
        <v>39.999999999999936</v>
      </c>
      <c r="O21" t="str">
        <f>IF(Table1[[#This Row],[Resolution_Time_Min]]&lt;=Table1[[#This Row],[SLA_Target_Min]],"Met","Breached")</f>
        <v>Met</v>
      </c>
      <c r="P21">
        <f>IF(Table1[[#This Row],[SLA_Status]]="Breached",1,0)</f>
        <v>0</v>
      </c>
      <c r="Q21" t="str" cm="1">
        <f t="array" ref="Q21">_xlfn.IFS(Table1[[#This Row],[Resolution_Time_Min]]&lt;=15,"Very Fast",Table1[[#This Row],[Resolution_Time_Min]]&lt;=30,"Fast",Table1[[#This Row],[Resolution_Time_Min]]&lt;=60,"Moderate",TRUE,"Slow")</f>
        <v>Moderate</v>
      </c>
      <c r="R21" t="str" cm="1">
        <f t="array" ref="R21">_xlfn.IFS(Table1[[#This Row],[CSAT_Score]]&gt;=4,"Satisfied",Table1[[#This Row],[CSAT_Score]]=3,"Neutral",TRUE,"Dissatisfied")</f>
        <v>Satisfied</v>
      </c>
      <c r="S21">
        <f>IF(Table1[[#This Row],[Reopen_Flag]]="Yes",1,0)</f>
        <v>0</v>
      </c>
      <c r="T21">
        <f>IF(Table1[[#This Row],[SLA_Status]]="Met",1,0)</f>
        <v>1</v>
      </c>
      <c r="U21">
        <f>IF(Table1[[#This Row],[SLA_Status]]="Met",Table1[[#This Row],[CSAT_Score]]*1,Table1[[#This Row],[CSAT_Score]]*0.5)</f>
        <v>4</v>
      </c>
      <c r="V21" t="str">
        <f>TEXT(Table1[[#This Row],[Ticket_Date]],"yyyy-mmm")</f>
        <v>2024-Jan</v>
      </c>
    </row>
    <row r="22" spans="1:22" x14ac:dyDescent="0.3">
      <c r="A22" t="s">
        <v>58</v>
      </c>
      <c r="B22" s="1">
        <v>45298</v>
      </c>
      <c r="C22" t="s">
        <v>29</v>
      </c>
      <c r="D22" t="s">
        <v>30</v>
      </c>
      <c r="E22" t="s">
        <v>16</v>
      </c>
      <c r="F22" t="s">
        <v>17</v>
      </c>
      <c r="G22" t="s">
        <v>18</v>
      </c>
      <c r="H22" t="s">
        <v>19</v>
      </c>
      <c r="I22" s="2">
        <v>0.4513888888888889</v>
      </c>
      <c r="J22" s="2">
        <v>0.48958333333333331</v>
      </c>
      <c r="K22">
        <v>30</v>
      </c>
      <c r="L22">
        <v>3</v>
      </c>
      <c r="M22" t="s">
        <v>20</v>
      </c>
      <c r="N22" s="3">
        <f>(Table1[[#This Row],[Close_Time]]-Table1[[#This Row],[Open_Time]])*1440</f>
        <v>54.999999999999964</v>
      </c>
      <c r="O22" t="str">
        <f>IF(Table1[[#This Row],[Resolution_Time_Min]]&lt;=Table1[[#This Row],[SLA_Target_Min]],"Met","Breached")</f>
        <v>Breached</v>
      </c>
      <c r="P22">
        <f>IF(Table1[[#This Row],[SLA_Status]]="Breached",1,0)</f>
        <v>1</v>
      </c>
      <c r="Q22" t="str" cm="1">
        <f t="array" ref="Q22">_xlfn.IFS(Table1[[#This Row],[Resolution_Time_Min]]&lt;=15,"Very Fast",Table1[[#This Row],[Resolution_Time_Min]]&lt;=30,"Fast",Table1[[#This Row],[Resolution_Time_Min]]&lt;=60,"Moderate",TRUE,"Slow")</f>
        <v>Moderate</v>
      </c>
      <c r="R22" t="str" cm="1">
        <f t="array" ref="R22">_xlfn.IFS(Table1[[#This Row],[CSAT_Score]]&gt;=4,"Satisfied",Table1[[#This Row],[CSAT_Score]]=3,"Neutral",TRUE,"Dissatisfied")</f>
        <v>Neutral</v>
      </c>
      <c r="S22">
        <f>IF(Table1[[#This Row],[Reopen_Flag]]="Yes",1,0)</f>
        <v>0</v>
      </c>
      <c r="T22">
        <f>IF(Table1[[#This Row],[SLA_Status]]="Met",1,0)</f>
        <v>0</v>
      </c>
      <c r="U22">
        <f>IF(Table1[[#This Row],[SLA_Status]]="Met",Table1[[#This Row],[CSAT_Score]]*1,Table1[[#This Row],[CSAT_Score]]*0.5)</f>
        <v>1.5</v>
      </c>
      <c r="V22" t="str">
        <f>TEXT(Table1[[#This Row],[Ticket_Date]],"yyyy-mmm")</f>
        <v>2024-Jan</v>
      </c>
    </row>
    <row r="23" spans="1:22" x14ac:dyDescent="0.3">
      <c r="A23" t="s">
        <v>59</v>
      </c>
      <c r="B23" s="1">
        <v>45298</v>
      </c>
      <c r="C23" t="s">
        <v>34</v>
      </c>
      <c r="D23" t="s">
        <v>35</v>
      </c>
      <c r="E23" t="s">
        <v>36</v>
      </c>
      <c r="F23" t="s">
        <v>25</v>
      </c>
      <c r="G23" t="s">
        <v>26</v>
      </c>
      <c r="H23" t="s">
        <v>27</v>
      </c>
      <c r="I23" s="2">
        <v>0.50347222222222221</v>
      </c>
      <c r="J23" s="2">
        <v>0.52777777777777779</v>
      </c>
      <c r="K23">
        <v>40</v>
      </c>
      <c r="L23">
        <v>4</v>
      </c>
      <c r="M23" t="s">
        <v>20</v>
      </c>
      <c r="N23" s="3">
        <f>(Table1[[#This Row],[Close_Time]]-Table1[[#This Row],[Open_Time]])*1440</f>
        <v>35.000000000000036</v>
      </c>
      <c r="O23" t="str">
        <f>IF(Table1[[#This Row],[Resolution_Time_Min]]&lt;=Table1[[#This Row],[SLA_Target_Min]],"Met","Breached")</f>
        <v>Met</v>
      </c>
      <c r="P23">
        <f>IF(Table1[[#This Row],[SLA_Status]]="Breached",1,0)</f>
        <v>0</v>
      </c>
      <c r="Q23" t="str" cm="1">
        <f t="array" ref="Q23">_xlfn.IFS(Table1[[#This Row],[Resolution_Time_Min]]&lt;=15,"Very Fast",Table1[[#This Row],[Resolution_Time_Min]]&lt;=30,"Fast",Table1[[#This Row],[Resolution_Time_Min]]&lt;=60,"Moderate",TRUE,"Slow")</f>
        <v>Moderate</v>
      </c>
      <c r="R23" t="str" cm="1">
        <f t="array" ref="R23">_xlfn.IFS(Table1[[#This Row],[CSAT_Score]]&gt;=4,"Satisfied",Table1[[#This Row],[CSAT_Score]]=3,"Neutral",TRUE,"Dissatisfied")</f>
        <v>Satisfied</v>
      </c>
      <c r="S23">
        <f>IF(Table1[[#This Row],[Reopen_Flag]]="Yes",1,0)</f>
        <v>0</v>
      </c>
      <c r="T23">
        <f>IF(Table1[[#This Row],[SLA_Status]]="Met",1,0)</f>
        <v>1</v>
      </c>
      <c r="U23">
        <f>IF(Table1[[#This Row],[SLA_Status]]="Met",Table1[[#This Row],[CSAT_Score]]*1,Table1[[#This Row],[CSAT_Score]]*0.5)</f>
        <v>4</v>
      </c>
      <c r="V23" t="str">
        <f>TEXT(Table1[[#This Row],[Ticket_Date]],"yyyy-mmm")</f>
        <v>2024-Jan</v>
      </c>
    </row>
    <row r="24" spans="1:22" x14ac:dyDescent="0.3">
      <c r="A24" t="s">
        <v>60</v>
      </c>
      <c r="B24" s="1">
        <v>45299</v>
      </c>
      <c r="C24" t="s">
        <v>14</v>
      </c>
      <c r="D24" t="s">
        <v>15</v>
      </c>
      <c r="E24" t="s">
        <v>16</v>
      </c>
      <c r="F24" t="s">
        <v>17</v>
      </c>
      <c r="G24" t="s">
        <v>18</v>
      </c>
      <c r="H24" t="s">
        <v>19</v>
      </c>
      <c r="I24" s="2">
        <v>0.38194444444444442</v>
      </c>
      <c r="J24" s="2">
        <v>0.4201388888888889</v>
      </c>
      <c r="K24">
        <v>30</v>
      </c>
      <c r="L24">
        <v>2</v>
      </c>
      <c r="M24" t="s">
        <v>37</v>
      </c>
      <c r="N24" s="3">
        <f>(Table1[[#This Row],[Close_Time]]-Table1[[#This Row],[Open_Time]])*1440</f>
        <v>55.000000000000043</v>
      </c>
      <c r="O24" t="str">
        <f>IF(Table1[[#This Row],[Resolution_Time_Min]]&lt;=Table1[[#This Row],[SLA_Target_Min]],"Met","Breached")</f>
        <v>Breached</v>
      </c>
      <c r="P24">
        <f>IF(Table1[[#This Row],[SLA_Status]]="Breached",1,0)</f>
        <v>1</v>
      </c>
      <c r="Q24" t="str" cm="1">
        <f t="array" ref="Q24">_xlfn.IFS(Table1[[#This Row],[Resolution_Time_Min]]&lt;=15,"Very Fast",Table1[[#This Row],[Resolution_Time_Min]]&lt;=30,"Fast",Table1[[#This Row],[Resolution_Time_Min]]&lt;=60,"Moderate",TRUE,"Slow")</f>
        <v>Moderate</v>
      </c>
      <c r="R24" t="str" cm="1">
        <f t="array" ref="R24">_xlfn.IFS(Table1[[#This Row],[CSAT_Score]]&gt;=4,"Satisfied",Table1[[#This Row],[CSAT_Score]]=3,"Neutral",TRUE,"Dissatisfied")</f>
        <v>Dissatisfied</v>
      </c>
      <c r="S24">
        <f>IF(Table1[[#This Row],[Reopen_Flag]]="Yes",1,0)</f>
        <v>1</v>
      </c>
      <c r="T24">
        <f>IF(Table1[[#This Row],[SLA_Status]]="Met",1,0)</f>
        <v>0</v>
      </c>
      <c r="U24">
        <f>IF(Table1[[#This Row],[SLA_Status]]="Met",Table1[[#This Row],[CSAT_Score]]*1,Table1[[#This Row],[CSAT_Score]]*0.5)</f>
        <v>1</v>
      </c>
      <c r="V24" t="str">
        <f>TEXT(Table1[[#This Row],[Ticket_Date]],"yyyy-mmm")</f>
        <v>2024-Jan</v>
      </c>
    </row>
    <row r="25" spans="1:22" x14ac:dyDescent="0.3">
      <c r="A25" t="s">
        <v>61</v>
      </c>
      <c r="B25" s="1">
        <v>45299</v>
      </c>
      <c r="C25" t="s">
        <v>22</v>
      </c>
      <c r="D25" t="s">
        <v>23</v>
      </c>
      <c r="E25" t="s">
        <v>24</v>
      </c>
      <c r="F25" t="s">
        <v>31</v>
      </c>
      <c r="G25" t="s">
        <v>18</v>
      </c>
      <c r="H25" t="s">
        <v>32</v>
      </c>
      <c r="I25" s="2">
        <v>0.44097222222222221</v>
      </c>
      <c r="J25" s="2">
        <v>0.47916666666666669</v>
      </c>
      <c r="K25">
        <v>60</v>
      </c>
      <c r="L25">
        <v>5</v>
      </c>
      <c r="M25" t="s">
        <v>20</v>
      </c>
      <c r="N25" s="3">
        <f>(Table1[[#This Row],[Close_Time]]-Table1[[#This Row],[Open_Time]])*1440</f>
        <v>55.000000000000043</v>
      </c>
      <c r="O25" t="str">
        <f>IF(Table1[[#This Row],[Resolution_Time_Min]]&lt;=Table1[[#This Row],[SLA_Target_Min]],"Met","Breached")</f>
        <v>Met</v>
      </c>
      <c r="P25">
        <f>IF(Table1[[#This Row],[SLA_Status]]="Breached",1,0)</f>
        <v>0</v>
      </c>
      <c r="Q25" t="str" cm="1">
        <f t="array" ref="Q25">_xlfn.IFS(Table1[[#This Row],[Resolution_Time_Min]]&lt;=15,"Very Fast",Table1[[#This Row],[Resolution_Time_Min]]&lt;=30,"Fast",Table1[[#This Row],[Resolution_Time_Min]]&lt;=60,"Moderate",TRUE,"Slow")</f>
        <v>Moderate</v>
      </c>
      <c r="R25" t="str" cm="1">
        <f t="array" ref="R25">_xlfn.IFS(Table1[[#This Row],[CSAT_Score]]&gt;=4,"Satisfied",Table1[[#This Row],[CSAT_Score]]=3,"Neutral",TRUE,"Dissatisfied")</f>
        <v>Satisfied</v>
      </c>
      <c r="S25">
        <f>IF(Table1[[#This Row],[Reopen_Flag]]="Yes",1,0)</f>
        <v>0</v>
      </c>
      <c r="T25">
        <f>IF(Table1[[#This Row],[SLA_Status]]="Met",1,0)</f>
        <v>1</v>
      </c>
      <c r="U25">
        <f>IF(Table1[[#This Row],[SLA_Status]]="Met",Table1[[#This Row],[CSAT_Score]]*1,Table1[[#This Row],[CSAT_Score]]*0.5)</f>
        <v>5</v>
      </c>
      <c r="V25" t="str">
        <f>TEXT(Table1[[#This Row],[Ticket_Date]],"yyyy-mmm")</f>
        <v>2024-Jan</v>
      </c>
    </row>
    <row r="26" spans="1:22" x14ac:dyDescent="0.3">
      <c r="A26" t="s">
        <v>62</v>
      </c>
      <c r="B26" s="1">
        <v>45299</v>
      </c>
      <c r="C26" t="s">
        <v>41</v>
      </c>
      <c r="D26" t="s">
        <v>42</v>
      </c>
      <c r="E26" t="s">
        <v>36</v>
      </c>
      <c r="F26" t="s">
        <v>17</v>
      </c>
      <c r="G26" t="s">
        <v>26</v>
      </c>
      <c r="H26" t="s">
        <v>27</v>
      </c>
      <c r="I26" s="2">
        <v>0.51388888888888884</v>
      </c>
      <c r="J26" s="2">
        <v>0.54166666666666663</v>
      </c>
      <c r="K26">
        <v>40</v>
      </c>
      <c r="L26">
        <v>3</v>
      </c>
      <c r="M26" t="s">
        <v>20</v>
      </c>
      <c r="N26" s="3">
        <f>(Table1[[#This Row],[Close_Time]]-Table1[[#This Row],[Open_Time]])*1440</f>
        <v>40.000000000000014</v>
      </c>
      <c r="O26" t="str">
        <f>IF(Table1[[#This Row],[Resolution_Time_Min]]&lt;=Table1[[#This Row],[SLA_Target_Min]],"Met","Breached")</f>
        <v>Met</v>
      </c>
      <c r="P26">
        <f>IF(Table1[[#This Row],[SLA_Status]]="Breached",1,0)</f>
        <v>0</v>
      </c>
      <c r="Q26" t="str" cm="1">
        <f t="array" ref="Q26">_xlfn.IFS(Table1[[#This Row],[Resolution_Time_Min]]&lt;=15,"Very Fast",Table1[[#This Row],[Resolution_Time_Min]]&lt;=30,"Fast",Table1[[#This Row],[Resolution_Time_Min]]&lt;=60,"Moderate",TRUE,"Slow")</f>
        <v>Moderate</v>
      </c>
      <c r="R26" t="str" cm="1">
        <f t="array" ref="R26">_xlfn.IFS(Table1[[#This Row],[CSAT_Score]]&gt;=4,"Satisfied",Table1[[#This Row],[CSAT_Score]]=3,"Neutral",TRUE,"Dissatisfied")</f>
        <v>Neutral</v>
      </c>
      <c r="S26">
        <f>IF(Table1[[#This Row],[Reopen_Flag]]="Yes",1,0)</f>
        <v>0</v>
      </c>
      <c r="T26">
        <f>IF(Table1[[#This Row],[SLA_Status]]="Met",1,0)</f>
        <v>1</v>
      </c>
      <c r="U26">
        <f>IF(Table1[[#This Row],[SLA_Status]]="Met",Table1[[#This Row],[CSAT_Score]]*1,Table1[[#This Row],[CSAT_Score]]*0.5)</f>
        <v>3</v>
      </c>
      <c r="V26" t="str">
        <f>TEXT(Table1[[#This Row],[Ticket_Date]],"yyyy-mmm")</f>
        <v>2024-Jan</v>
      </c>
    </row>
    <row r="27" spans="1:22" x14ac:dyDescent="0.3">
      <c r="A27" t="s">
        <v>63</v>
      </c>
      <c r="B27" s="1">
        <v>45300</v>
      </c>
      <c r="C27" t="s">
        <v>44</v>
      </c>
      <c r="D27" t="s">
        <v>45</v>
      </c>
      <c r="E27" t="s">
        <v>16</v>
      </c>
      <c r="F27" t="s">
        <v>25</v>
      </c>
      <c r="G27" t="s">
        <v>18</v>
      </c>
      <c r="H27" t="s">
        <v>27</v>
      </c>
      <c r="I27" s="2">
        <v>0.3923611111111111</v>
      </c>
      <c r="J27" s="2">
        <v>0.4201388888888889</v>
      </c>
      <c r="K27">
        <v>40</v>
      </c>
      <c r="L27">
        <v>4</v>
      </c>
      <c r="M27" t="s">
        <v>20</v>
      </c>
      <c r="N27" s="3">
        <f>(Table1[[#This Row],[Close_Time]]-Table1[[#This Row],[Open_Time]])*1440</f>
        <v>40.000000000000014</v>
      </c>
      <c r="O27" t="str">
        <f>IF(Table1[[#This Row],[Resolution_Time_Min]]&lt;=Table1[[#This Row],[SLA_Target_Min]],"Met","Breached")</f>
        <v>Met</v>
      </c>
      <c r="P27">
        <f>IF(Table1[[#This Row],[SLA_Status]]="Breached",1,0)</f>
        <v>0</v>
      </c>
      <c r="Q27" t="str" cm="1">
        <f t="array" ref="Q27">_xlfn.IFS(Table1[[#This Row],[Resolution_Time_Min]]&lt;=15,"Very Fast",Table1[[#This Row],[Resolution_Time_Min]]&lt;=30,"Fast",Table1[[#This Row],[Resolution_Time_Min]]&lt;=60,"Moderate",TRUE,"Slow")</f>
        <v>Moderate</v>
      </c>
      <c r="R27" t="str" cm="1">
        <f t="array" ref="R27">_xlfn.IFS(Table1[[#This Row],[CSAT_Score]]&gt;=4,"Satisfied",Table1[[#This Row],[CSAT_Score]]=3,"Neutral",TRUE,"Dissatisfied")</f>
        <v>Satisfied</v>
      </c>
      <c r="S27">
        <f>IF(Table1[[#This Row],[Reopen_Flag]]="Yes",1,0)</f>
        <v>0</v>
      </c>
      <c r="T27">
        <f>IF(Table1[[#This Row],[SLA_Status]]="Met",1,0)</f>
        <v>1</v>
      </c>
      <c r="U27">
        <f>IF(Table1[[#This Row],[SLA_Status]]="Met",Table1[[#This Row],[CSAT_Score]]*1,Table1[[#This Row],[CSAT_Score]]*0.5)</f>
        <v>4</v>
      </c>
      <c r="V27" t="str">
        <f>TEXT(Table1[[#This Row],[Ticket_Date]],"yyyy-mmm")</f>
        <v>2024-Jan</v>
      </c>
    </row>
    <row r="28" spans="1:22" x14ac:dyDescent="0.3">
      <c r="A28" t="s">
        <v>64</v>
      </c>
      <c r="B28" s="1">
        <v>45300</v>
      </c>
      <c r="C28" t="s">
        <v>29</v>
      </c>
      <c r="D28" t="s">
        <v>30</v>
      </c>
      <c r="E28" t="s">
        <v>16</v>
      </c>
      <c r="F28" t="s">
        <v>17</v>
      </c>
      <c r="G28" t="s">
        <v>18</v>
      </c>
      <c r="H28" t="s">
        <v>19</v>
      </c>
      <c r="I28" s="2">
        <v>0.44444444444444442</v>
      </c>
      <c r="J28" s="2">
        <v>0.4826388888888889</v>
      </c>
      <c r="K28">
        <v>30</v>
      </c>
      <c r="L28">
        <v>3</v>
      </c>
      <c r="M28" t="s">
        <v>20</v>
      </c>
      <c r="N28" s="3">
        <f>(Table1[[#This Row],[Close_Time]]-Table1[[#This Row],[Open_Time]])*1440</f>
        <v>55.000000000000043</v>
      </c>
      <c r="O28" t="str">
        <f>IF(Table1[[#This Row],[Resolution_Time_Min]]&lt;=Table1[[#This Row],[SLA_Target_Min]],"Met","Breached")</f>
        <v>Breached</v>
      </c>
      <c r="P28">
        <f>IF(Table1[[#This Row],[SLA_Status]]="Breached",1,0)</f>
        <v>1</v>
      </c>
      <c r="Q28" t="str" cm="1">
        <f t="array" ref="Q28">_xlfn.IFS(Table1[[#This Row],[Resolution_Time_Min]]&lt;=15,"Very Fast",Table1[[#This Row],[Resolution_Time_Min]]&lt;=30,"Fast",Table1[[#This Row],[Resolution_Time_Min]]&lt;=60,"Moderate",TRUE,"Slow")</f>
        <v>Moderate</v>
      </c>
      <c r="R28" t="str" cm="1">
        <f t="array" ref="R28">_xlfn.IFS(Table1[[#This Row],[CSAT_Score]]&gt;=4,"Satisfied",Table1[[#This Row],[CSAT_Score]]=3,"Neutral",TRUE,"Dissatisfied")</f>
        <v>Neutral</v>
      </c>
      <c r="S28">
        <f>IF(Table1[[#This Row],[Reopen_Flag]]="Yes",1,0)</f>
        <v>0</v>
      </c>
      <c r="T28">
        <f>IF(Table1[[#This Row],[SLA_Status]]="Met",1,0)</f>
        <v>0</v>
      </c>
      <c r="U28">
        <f>IF(Table1[[#This Row],[SLA_Status]]="Met",Table1[[#This Row],[CSAT_Score]]*1,Table1[[#This Row],[CSAT_Score]]*0.5)</f>
        <v>1.5</v>
      </c>
      <c r="V28" t="str">
        <f>TEXT(Table1[[#This Row],[Ticket_Date]],"yyyy-mmm")</f>
        <v>2024-Jan</v>
      </c>
    </row>
    <row r="29" spans="1:22" x14ac:dyDescent="0.3">
      <c r="A29" t="s">
        <v>65</v>
      </c>
      <c r="B29" s="1">
        <v>45300</v>
      </c>
      <c r="C29" t="s">
        <v>34</v>
      </c>
      <c r="D29" t="s">
        <v>35</v>
      </c>
      <c r="E29" t="s">
        <v>36</v>
      </c>
      <c r="F29" t="s">
        <v>17</v>
      </c>
      <c r="G29" t="s">
        <v>26</v>
      </c>
      <c r="H29" t="s">
        <v>19</v>
      </c>
      <c r="I29" s="2">
        <v>0.50694444444444442</v>
      </c>
      <c r="J29" s="2">
        <v>0.54513888888888884</v>
      </c>
      <c r="K29">
        <v>30</v>
      </c>
      <c r="L29">
        <v>2</v>
      </c>
      <c r="M29" t="s">
        <v>37</v>
      </c>
      <c r="N29" s="3">
        <f>(Table1[[#This Row],[Close_Time]]-Table1[[#This Row],[Open_Time]])*1440</f>
        <v>54.999999999999964</v>
      </c>
      <c r="O29" t="str">
        <f>IF(Table1[[#This Row],[Resolution_Time_Min]]&lt;=Table1[[#This Row],[SLA_Target_Min]],"Met","Breached")</f>
        <v>Breached</v>
      </c>
      <c r="P29">
        <f>IF(Table1[[#This Row],[SLA_Status]]="Breached",1,0)</f>
        <v>1</v>
      </c>
      <c r="Q29" t="str" cm="1">
        <f t="array" ref="Q29">_xlfn.IFS(Table1[[#This Row],[Resolution_Time_Min]]&lt;=15,"Very Fast",Table1[[#This Row],[Resolution_Time_Min]]&lt;=30,"Fast",Table1[[#This Row],[Resolution_Time_Min]]&lt;=60,"Moderate",TRUE,"Slow")</f>
        <v>Moderate</v>
      </c>
      <c r="R29" t="str" cm="1">
        <f t="array" ref="R29">_xlfn.IFS(Table1[[#This Row],[CSAT_Score]]&gt;=4,"Satisfied",Table1[[#This Row],[CSAT_Score]]=3,"Neutral",TRUE,"Dissatisfied")</f>
        <v>Dissatisfied</v>
      </c>
      <c r="S29">
        <f>IF(Table1[[#This Row],[Reopen_Flag]]="Yes",1,0)</f>
        <v>1</v>
      </c>
      <c r="T29">
        <f>IF(Table1[[#This Row],[SLA_Status]]="Met",1,0)</f>
        <v>0</v>
      </c>
      <c r="U29">
        <f>IF(Table1[[#This Row],[SLA_Status]]="Met",Table1[[#This Row],[CSAT_Score]]*1,Table1[[#This Row],[CSAT_Score]]*0.5)</f>
        <v>1</v>
      </c>
      <c r="V29" t="str">
        <f>TEXT(Table1[[#This Row],[Ticket_Date]],"yyyy-mmm")</f>
        <v>2024-Jan</v>
      </c>
    </row>
    <row r="30" spans="1:22" x14ac:dyDescent="0.3">
      <c r="A30" t="s">
        <v>66</v>
      </c>
      <c r="B30" s="1">
        <v>45301</v>
      </c>
      <c r="C30" t="s">
        <v>14</v>
      </c>
      <c r="D30" t="s">
        <v>15</v>
      </c>
      <c r="E30" t="s">
        <v>16</v>
      </c>
      <c r="F30" t="s">
        <v>17</v>
      </c>
      <c r="G30" t="s">
        <v>18</v>
      </c>
      <c r="H30" t="s">
        <v>27</v>
      </c>
      <c r="I30" s="2">
        <v>0.38541666666666669</v>
      </c>
      <c r="J30" s="2">
        <v>0.40972222222222221</v>
      </c>
      <c r="K30">
        <v>40</v>
      </c>
      <c r="L30">
        <v>4</v>
      </c>
      <c r="M30" t="s">
        <v>20</v>
      </c>
      <c r="N30" s="3">
        <f>(Table1[[#This Row],[Close_Time]]-Table1[[#This Row],[Open_Time]])*1440</f>
        <v>34.999999999999957</v>
      </c>
      <c r="O30" t="str">
        <f>IF(Table1[[#This Row],[Resolution_Time_Min]]&lt;=Table1[[#This Row],[SLA_Target_Min]],"Met","Breached")</f>
        <v>Met</v>
      </c>
      <c r="P30">
        <f>IF(Table1[[#This Row],[SLA_Status]]="Breached",1,0)</f>
        <v>0</v>
      </c>
      <c r="Q30" t="str" cm="1">
        <f t="array" ref="Q30">_xlfn.IFS(Table1[[#This Row],[Resolution_Time_Min]]&lt;=15,"Very Fast",Table1[[#This Row],[Resolution_Time_Min]]&lt;=30,"Fast",Table1[[#This Row],[Resolution_Time_Min]]&lt;=60,"Moderate",TRUE,"Slow")</f>
        <v>Moderate</v>
      </c>
      <c r="R30" t="str" cm="1">
        <f t="array" ref="R30">_xlfn.IFS(Table1[[#This Row],[CSAT_Score]]&gt;=4,"Satisfied",Table1[[#This Row],[CSAT_Score]]=3,"Neutral",TRUE,"Dissatisfied")</f>
        <v>Satisfied</v>
      </c>
      <c r="S30">
        <f>IF(Table1[[#This Row],[Reopen_Flag]]="Yes",1,0)</f>
        <v>0</v>
      </c>
      <c r="T30">
        <f>IF(Table1[[#This Row],[SLA_Status]]="Met",1,0)</f>
        <v>1</v>
      </c>
      <c r="U30">
        <f>IF(Table1[[#This Row],[SLA_Status]]="Met",Table1[[#This Row],[CSAT_Score]]*1,Table1[[#This Row],[CSAT_Score]]*0.5)</f>
        <v>4</v>
      </c>
      <c r="V30" t="str">
        <f>TEXT(Table1[[#This Row],[Ticket_Date]],"yyyy-mmm")</f>
        <v>2024-Jan</v>
      </c>
    </row>
    <row r="31" spans="1:22" x14ac:dyDescent="0.3">
      <c r="A31" t="s">
        <v>67</v>
      </c>
      <c r="B31" s="1">
        <v>45301</v>
      </c>
      <c r="C31" t="s">
        <v>22</v>
      </c>
      <c r="D31" t="s">
        <v>23</v>
      </c>
      <c r="E31" t="s">
        <v>24</v>
      </c>
      <c r="F31" t="s">
        <v>25</v>
      </c>
      <c r="G31" t="s">
        <v>18</v>
      </c>
      <c r="H31" t="s">
        <v>32</v>
      </c>
      <c r="I31" s="2">
        <v>0.43055555555555558</v>
      </c>
      <c r="J31" s="2">
        <v>0.46180555555555558</v>
      </c>
      <c r="K31">
        <v>60</v>
      </c>
      <c r="L31">
        <v>5</v>
      </c>
      <c r="M31" t="s">
        <v>20</v>
      </c>
      <c r="N31" s="3">
        <f>(Table1[[#This Row],[Close_Time]]-Table1[[#This Row],[Open_Time]])*1440</f>
        <v>45</v>
      </c>
      <c r="O31" t="str">
        <f>IF(Table1[[#This Row],[Resolution_Time_Min]]&lt;=Table1[[#This Row],[SLA_Target_Min]],"Met","Breached")</f>
        <v>Met</v>
      </c>
      <c r="P31">
        <f>IF(Table1[[#This Row],[SLA_Status]]="Breached",1,0)</f>
        <v>0</v>
      </c>
      <c r="Q31" t="str" cm="1">
        <f t="array" ref="Q31">_xlfn.IFS(Table1[[#This Row],[Resolution_Time_Min]]&lt;=15,"Very Fast",Table1[[#This Row],[Resolution_Time_Min]]&lt;=30,"Fast",Table1[[#This Row],[Resolution_Time_Min]]&lt;=60,"Moderate",TRUE,"Slow")</f>
        <v>Moderate</v>
      </c>
      <c r="R31" t="str" cm="1">
        <f t="array" ref="R31">_xlfn.IFS(Table1[[#This Row],[CSAT_Score]]&gt;=4,"Satisfied",Table1[[#This Row],[CSAT_Score]]=3,"Neutral",TRUE,"Dissatisfied")</f>
        <v>Satisfied</v>
      </c>
      <c r="S31">
        <f>IF(Table1[[#This Row],[Reopen_Flag]]="Yes",1,0)</f>
        <v>0</v>
      </c>
      <c r="T31">
        <f>IF(Table1[[#This Row],[SLA_Status]]="Met",1,0)</f>
        <v>1</v>
      </c>
      <c r="U31">
        <f>IF(Table1[[#This Row],[SLA_Status]]="Met",Table1[[#This Row],[CSAT_Score]]*1,Table1[[#This Row],[CSAT_Score]]*0.5)</f>
        <v>5</v>
      </c>
      <c r="V31" t="str">
        <f>TEXT(Table1[[#This Row],[Ticket_Date]],"yyyy-mmm")</f>
        <v>2024-Jan</v>
      </c>
    </row>
    <row r="32" spans="1:22" x14ac:dyDescent="0.3">
      <c r="A32" t="s">
        <v>68</v>
      </c>
      <c r="B32" s="1">
        <v>45301</v>
      </c>
      <c r="C32" t="s">
        <v>41</v>
      </c>
      <c r="D32" t="s">
        <v>42</v>
      </c>
      <c r="E32" t="s">
        <v>36</v>
      </c>
      <c r="F32" t="s">
        <v>17</v>
      </c>
      <c r="G32" t="s">
        <v>26</v>
      </c>
      <c r="H32" t="s">
        <v>27</v>
      </c>
      <c r="I32" s="2">
        <v>0.47916666666666669</v>
      </c>
      <c r="J32" s="2">
        <v>0.51041666666666663</v>
      </c>
      <c r="K32">
        <v>40</v>
      </c>
      <c r="L32">
        <v>3</v>
      </c>
      <c r="M32" t="s">
        <v>20</v>
      </c>
      <c r="N32" s="3">
        <f>(Table1[[#This Row],[Close_Time]]-Table1[[#This Row],[Open_Time]])*1440</f>
        <v>44.999999999999922</v>
      </c>
      <c r="O32" t="str">
        <f>IF(Table1[[#This Row],[Resolution_Time_Min]]&lt;=Table1[[#This Row],[SLA_Target_Min]],"Met","Breached")</f>
        <v>Breached</v>
      </c>
      <c r="P32">
        <f>IF(Table1[[#This Row],[SLA_Status]]="Breached",1,0)</f>
        <v>1</v>
      </c>
      <c r="Q32" t="str" cm="1">
        <f t="array" ref="Q32">_xlfn.IFS(Table1[[#This Row],[Resolution_Time_Min]]&lt;=15,"Very Fast",Table1[[#This Row],[Resolution_Time_Min]]&lt;=30,"Fast",Table1[[#This Row],[Resolution_Time_Min]]&lt;=60,"Moderate",TRUE,"Slow")</f>
        <v>Moderate</v>
      </c>
      <c r="R32" t="str" cm="1">
        <f t="array" ref="R32">_xlfn.IFS(Table1[[#This Row],[CSAT_Score]]&gt;=4,"Satisfied",Table1[[#This Row],[CSAT_Score]]=3,"Neutral",TRUE,"Dissatisfied")</f>
        <v>Neutral</v>
      </c>
      <c r="S32">
        <f>IF(Table1[[#This Row],[Reopen_Flag]]="Yes",1,0)</f>
        <v>0</v>
      </c>
      <c r="T32">
        <f>IF(Table1[[#This Row],[SLA_Status]]="Met",1,0)</f>
        <v>0</v>
      </c>
      <c r="U32">
        <f>IF(Table1[[#This Row],[SLA_Status]]="Met",Table1[[#This Row],[CSAT_Score]]*1,Table1[[#This Row],[CSAT_Score]]*0.5)</f>
        <v>1.5</v>
      </c>
      <c r="V32" t="str">
        <f>TEXT(Table1[[#This Row],[Ticket_Date]],"yyyy-mmm")</f>
        <v>2024-Jan</v>
      </c>
    </row>
    <row r="33" spans="1:22" x14ac:dyDescent="0.3">
      <c r="A33" t="s">
        <v>69</v>
      </c>
      <c r="B33" s="1">
        <v>45302</v>
      </c>
      <c r="C33" t="s">
        <v>44</v>
      </c>
      <c r="D33" t="s">
        <v>45</v>
      </c>
      <c r="E33" t="s">
        <v>16</v>
      </c>
      <c r="F33" t="s">
        <v>31</v>
      </c>
      <c r="G33" t="s">
        <v>18</v>
      </c>
      <c r="H33" t="s">
        <v>32</v>
      </c>
      <c r="I33" s="2">
        <v>0.40277777777777779</v>
      </c>
      <c r="J33" s="2">
        <v>0.44097222222222221</v>
      </c>
      <c r="K33">
        <v>60</v>
      </c>
      <c r="L33">
        <v>5</v>
      </c>
      <c r="M33" t="s">
        <v>20</v>
      </c>
      <c r="N33" s="3">
        <f>(Table1[[#This Row],[Close_Time]]-Table1[[#This Row],[Open_Time]])*1440</f>
        <v>54.999999999999964</v>
      </c>
      <c r="O33" t="str">
        <f>IF(Table1[[#This Row],[Resolution_Time_Min]]&lt;=Table1[[#This Row],[SLA_Target_Min]],"Met","Breached")</f>
        <v>Met</v>
      </c>
      <c r="P33">
        <f>IF(Table1[[#This Row],[SLA_Status]]="Breached",1,0)</f>
        <v>0</v>
      </c>
      <c r="Q33" t="str" cm="1">
        <f t="array" ref="Q33">_xlfn.IFS(Table1[[#This Row],[Resolution_Time_Min]]&lt;=15,"Very Fast",Table1[[#This Row],[Resolution_Time_Min]]&lt;=30,"Fast",Table1[[#This Row],[Resolution_Time_Min]]&lt;=60,"Moderate",TRUE,"Slow")</f>
        <v>Moderate</v>
      </c>
      <c r="R33" t="str" cm="1">
        <f t="array" ref="R33">_xlfn.IFS(Table1[[#This Row],[CSAT_Score]]&gt;=4,"Satisfied",Table1[[#This Row],[CSAT_Score]]=3,"Neutral",TRUE,"Dissatisfied")</f>
        <v>Satisfied</v>
      </c>
      <c r="S33">
        <f>IF(Table1[[#This Row],[Reopen_Flag]]="Yes",1,0)</f>
        <v>0</v>
      </c>
      <c r="T33">
        <f>IF(Table1[[#This Row],[SLA_Status]]="Met",1,0)</f>
        <v>1</v>
      </c>
      <c r="U33">
        <f>IF(Table1[[#This Row],[SLA_Status]]="Met",Table1[[#This Row],[CSAT_Score]]*1,Table1[[#This Row],[CSAT_Score]]*0.5)</f>
        <v>5</v>
      </c>
      <c r="V33" t="str">
        <f>TEXT(Table1[[#This Row],[Ticket_Date]],"yyyy-mmm")</f>
        <v>2024-Jan</v>
      </c>
    </row>
    <row r="34" spans="1:22" x14ac:dyDescent="0.3">
      <c r="A34" t="s">
        <v>70</v>
      </c>
      <c r="B34" s="1">
        <v>45302</v>
      </c>
      <c r="C34" t="s">
        <v>29</v>
      </c>
      <c r="D34" t="s">
        <v>30</v>
      </c>
      <c r="E34" t="s">
        <v>16</v>
      </c>
      <c r="F34" t="s">
        <v>17</v>
      </c>
      <c r="G34" t="s">
        <v>18</v>
      </c>
      <c r="H34" t="s">
        <v>19</v>
      </c>
      <c r="I34" s="2">
        <v>0.4548611111111111</v>
      </c>
      <c r="J34" s="2">
        <v>0.49305555555555558</v>
      </c>
      <c r="K34">
        <v>30</v>
      </c>
      <c r="L34">
        <v>3</v>
      </c>
      <c r="M34" t="s">
        <v>20</v>
      </c>
      <c r="N34" s="3">
        <f>(Table1[[#This Row],[Close_Time]]-Table1[[#This Row],[Open_Time]])*1440</f>
        <v>55.000000000000043</v>
      </c>
      <c r="O34" t="str">
        <f>IF(Table1[[#This Row],[Resolution_Time_Min]]&lt;=Table1[[#This Row],[SLA_Target_Min]],"Met","Breached")</f>
        <v>Breached</v>
      </c>
      <c r="P34">
        <f>IF(Table1[[#This Row],[SLA_Status]]="Breached",1,0)</f>
        <v>1</v>
      </c>
      <c r="Q34" t="str" cm="1">
        <f t="array" ref="Q34">_xlfn.IFS(Table1[[#This Row],[Resolution_Time_Min]]&lt;=15,"Very Fast",Table1[[#This Row],[Resolution_Time_Min]]&lt;=30,"Fast",Table1[[#This Row],[Resolution_Time_Min]]&lt;=60,"Moderate",TRUE,"Slow")</f>
        <v>Moderate</v>
      </c>
      <c r="R34" t="str" cm="1">
        <f t="array" ref="R34">_xlfn.IFS(Table1[[#This Row],[CSAT_Score]]&gt;=4,"Satisfied",Table1[[#This Row],[CSAT_Score]]=3,"Neutral",TRUE,"Dissatisfied")</f>
        <v>Neutral</v>
      </c>
      <c r="S34">
        <f>IF(Table1[[#This Row],[Reopen_Flag]]="Yes",1,0)</f>
        <v>0</v>
      </c>
      <c r="T34">
        <f>IF(Table1[[#This Row],[SLA_Status]]="Met",1,0)</f>
        <v>0</v>
      </c>
      <c r="U34">
        <f>IF(Table1[[#This Row],[SLA_Status]]="Met",Table1[[#This Row],[CSAT_Score]]*1,Table1[[#This Row],[CSAT_Score]]*0.5)</f>
        <v>1.5</v>
      </c>
      <c r="V34" t="str">
        <f>TEXT(Table1[[#This Row],[Ticket_Date]],"yyyy-mmm")</f>
        <v>2024-Jan</v>
      </c>
    </row>
    <row r="35" spans="1:22" x14ac:dyDescent="0.3">
      <c r="A35" t="s">
        <v>71</v>
      </c>
      <c r="B35" s="1">
        <v>45302</v>
      </c>
      <c r="C35" t="s">
        <v>34</v>
      </c>
      <c r="D35" t="s">
        <v>35</v>
      </c>
      <c r="E35" t="s">
        <v>36</v>
      </c>
      <c r="F35" t="s">
        <v>25</v>
      </c>
      <c r="G35" t="s">
        <v>26</v>
      </c>
      <c r="H35" t="s">
        <v>27</v>
      </c>
      <c r="I35" s="2">
        <v>0.50694444444444442</v>
      </c>
      <c r="J35" s="2">
        <v>0.53125</v>
      </c>
      <c r="K35">
        <v>40</v>
      </c>
      <c r="L35">
        <v>4</v>
      </c>
      <c r="M35" t="s">
        <v>20</v>
      </c>
      <c r="N35" s="3">
        <f>(Table1[[#This Row],[Close_Time]]-Table1[[#This Row],[Open_Time]])*1440</f>
        <v>35.000000000000036</v>
      </c>
      <c r="O35" t="str">
        <f>IF(Table1[[#This Row],[Resolution_Time_Min]]&lt;=Table1[[#This Row],[SLA_Target_Min]],"Met","Breached")</f>
        <v>Met</v>
      </c>
      <c r="P35">
        <f>IF(Table1[[#This Row],[SLA_Status]]="Breached",1,0)</f>
        <v>0</v>
      </c>
      <c r="Q35" t="str" cm="1">
        <f t="array" ref="Q35">_xlfn.IFS(Table1[[#This Row],[Resolution_Time_Min]]&lt;=15,"Very Fast",Table1[[#This Row],[Resolution_Time_Min]]&lt;=30,"Fast",Table1[[#This Row],[Resolution_Time_Min]]&lt;=60,"Moderate",TRUE,"Slow")</f>
        <v>Moderate</v>
      </c>
      <c r="R35" t="str" cm="1">
        <f t="array" ref="R35">_xlfn.IFS(Table1[[#This Row],[CSAT_Score]]&gt;=4,"Satisfied",Table1[[#This Row],[CSAT_Score]]=3,"Neutral",TRUE,"Dissatisfied")</f>
        <v>Satisfied</v>
      </c>
      <c r="S35">
        <f>IF(Table1[[#This Row],[Reopen_Flag]]="Yes",1,0)</f>
        <v>0</v>
      </c>
      <c r="T35">
        <f>IF(Table1[[#This Row],[SLA_Status]]="Met",1,0)</f>
        <v>1</v>
      </c>
      <c r="U35">
        <f>IF(Table1[[#This Row],[SLA_Status]]="Met",Table1[[#This Row],[CSAT_Score]]*1,Table1[[#This Row],[CSAT_Score]]*0.5)</f>
        <v>4</v>
      </c>
      <c r="V35" t="str">
        <f>TEXT(Table1[[#This Row],[Ticket_Date]],"yyyy-mmm")</f>
        <v>2024-Jan</v>
      </c>
    </row>
    <row r="36" spans="1:22" x14ac:dyDescent="0.3">
      <c r="A36" t="s">
        <v>72</v>
      </c>
      <c r="B36" s="1">
        <v>45303</v>
      </c>
      <c r="C36" t="s">
        <v>14</v>
      </c>
      <c r="D36" t="s">
        <v>15</v>
      </c>
      <c r="E36" t="s">
        <v>16</v>
      </c>
      <c r="F36" t="s">
        <v>17</v>
      </c>
      <c r="G36" t="s">
        <v>18</v>
      </c>
      <c r="H36" t="s">
        <v>19</v>
      </c>
      <c r="I36" s="2">
        <v>0.37847222222222221</v>
      </c>
      <c r="J36" s="2">
        <v>0.41666666666666669</v>
      </c>
      <c r="K36">
        <v>30</v>
      </c>
      <c r="L36">
        <v>2</v>
      </c>
      <c r="M36" t="s">
        <v>37</v>
      </c>
      <c r="N36" s="3">
        <f>(Table1[[#This Row],[Close_Time]]-Table1[[#This Row],[Open_Time]])*1440</f>
        <v>55.000000000000043</v>
      </c>
      <c r="O36" t="str">
        <f>IF(Table1[[#This Row],[Resolution_Time_Min]]&lt;=Table1[[#This Row],[SLA_Target_Min]],"Met","Breached")</f>
        <v>Breached</v>
      </c>
      <c r="P36">
        <f>IF(Table1[[#This Row],[SLA_Status]]="Breached",1,0)</f>
        <v>1</v>
      </c>
      <c r="Q36" t="str" cm="1">
        <f t="array" ref="Q36">_xlfn.IFS(Table1[[#This Row],[Resolution_Time_Min]]&lt;=15,"Very Fast",Table1[[#This Row],[Resolution_Time_Min]]&lt;=30,"Fast",Table1[[#This Row],[Resolution_Time_Min]]&lt;=60,"Moderate",TRUE,"Slow")</f>
        <v>Moderate</v>
      </c>
      <c r="R36" t="str" cm="1">
        <f t="array" ref="R36">_xlfn.IFS(Table1[[#This Row],[CSAT_Score]]&gt;=4,"Satisfied",Table1[[#This Row],[CSAT_Score]]=3,"Neutral",TRUE,"Dissatisfied")</f>
        <v>Dissatisfied</v>
      </c>
      <c r="S36">
        <f>IF(Table1[[#This Row],[Reopen_Flag]]="Yes",1,0)</f>
        <v>1</v>
      </c>
      <c r="T36">
        <f>IF(Table1[[#This Row],[SLA_Status]]="Met",1,0)</f>
        <v>0</v>
      </c>
      <c r="U36">
        <f>IF(Table1[[#This Row],[SLA_Status]]="Met",Table1[[#This Row],[CSAT_Score]]*1,Table1[[#This Row],[CSAT_Score]]*0.5)</f>
        <v>1</v>
      </c>
      <c r="V36" t="str">
        <f>TEXT(Table1[[#This Row],[Ticket_Date]],"yyyy-mmm")</f>
        <v>2024-Jan</v>
      </c>
    </row>
    <row r="37" spans="1:22" x14ac:dyDescent="0.3">
      <c r="A37" t="s">
        <v>73</v>
      </c>
      <c r="B37" s="1">
        <v>45303</v>
      </c>
      <c r="C37" t="s">
        <v>22</v>
      </c>
      <c r="D37" t="s">
        <v>23</v>
      </c>
      <c r="E37" t="s">
        <v>24</v>
      </c>
      <c r="F37" t="s">
        <v>31</v>
      </c>
      <c r="G37" t="s">
        <v>18</v>
      </c>
      <c r="H37" t="s">
        <v>32</v>
      </c>
      <c r="I37" s="2">
        <v>0.4375</v>
      </c>
      <c r="J37" s="2">
        <v>0.47569444444444442</v>
      </c>
      <c r="K37">
        <v>60</v>
      </c>
      <c r="L37">
        <v>5</v>
      </c>
      <c r="M37" t="s">
        <v>20</v>
      </c>
      <c r="N37" s="3">
        <f>(Table1[[#This Row],[Close_Time]]-Table1[[#This Row],[Open_Time]])*1440</f>
        <v>54.999999999999964</v>
      </c>
      <c r="O37" t="str">
        <f>IF(Table1[[#This Row],[Resolution_Time_Min]]&lt;=Table1[[#This Row],[SLA_Target_Min]],"Met","Breached")</f>
        <v>Met</v>
      </c>
      <c r="P37">
        <f>IF(Table1[[#This Row],[SLA_Status]]="Breached",1,0)</f>
        <v>0</v>
      </c>
      <c r="Q37" t="str" cm="1">
        <f t="array" ref="Q37">_xlfn.IFS(Table1[[#This Row],[Resolution_Time_Min]]&lt;=15,"Very Fast",Table1[[#This Row],[Resolution_Time_Min]]&lt;=30,"Fast",Table1[[#This Row],[Resolution_Time_Min]]&lt;=60,"Moderate",TRUE,"Slow")</f>
        <v>Moderate</v>
      </c>
      <c r="R37" t="str" cm="1">
        <f t="array" ref="R37">_xlfn.IFS(Table1[[#This Row],[CSAT_Score]]&gt;=4,"Satisfied",Table1[[#This Row],[CSAT_Score]]=3,"Neutral",TRUE,"Dissatisfied")</f>
        <v>Satisfied</v>
      </c>
      <c r="S37">
        <f>IF(Table1[[#This Row],[Reopen_Flag]]="Yes",1,0)</f>
        <v>0</v>
      </c>
      <c r="T37">
        <f>IF(Table1[[#This Row],[SLA_Status]]="Met",1,0)</f>
        <v>1</v>
      </c>
      <c r="U37">
        <f>IF(Table1[[#This Row],[SLA_Status]]="Met",Table1[[#This Row],[CSAT_Score]]*1,Table1[[#This Row],[CSAT_Score]]*0.5)</f>
        <v>5</v>
      </c>
      <c r="V37" t="str">
        <f>TEXT(Table1[[#This Row],[Ticket_Date]],"yyyy-mmm")</f>
        <v>2024-Jan</v>
      </c>
    </row>
    <row r="38" spans="1:22" x14ac:dyDescent="0.3">
      <c r="A38" t="s">
        <v>74</v>
      </c>
      <c r="B38" s="1">
        <v>45303</v>
      </c>
      <c r="C38" t="s">
        <v>41</v>
      </c>
      <c r="D38" t="s">
        <v>42</v>
      </c>
      <c r="E38" t="s">
        <v>36</v>
      </c>
      <c r="F38" t="s">
        <v>17</v>
      </c>
      <c r="G38" t="s">
        <v>26</v>
      </c>
      <c r="H38" t="s">
        <v>19</v>
      </c>
      <c r="I38" s="2">
        <v>0.51388888888888884</v>
      </c>
      <c r="J38" s="2">
        <v>0.55208333333333337</v>
      </c>
      <c r="K38">
        <v>30</v>
      </c>
      <c r="L38">
        <v>2</v>
      </c>
      <c r="M38" t="s">
        <v>37</v>
      </c>
      <c r="N38" s="3">
        <f>(Table1[[#This Row],[Close_Time]]-Table1[[#This Row],[Open_Time]])*1440</f>
        <v>55.000000000000128</v>
      </c>
      <c r="O38" t="str">
        <f>IF(Table1[[#This Row],[Resolution_Time_Min]]&lt;=Table1[[#This Row],[SLA_Target_Min]],"Met","Breached")</f>
        <v>Breached</v>
      </c>
      <c r="P38">
        <f>IF(Table1[[#This Row],[SLA_Status]]="Breached",1,0)</f>
        <v>1</v>
      </c>
      <c r="Q38" t="str" cm="1">
        <f t="array" ref="Q38">_xlfn.IFS(Table1[[#This Row],[Resolution_Time_Min]]&lt;=15,"Very Fast",Table1[[#This Row],[Resolution_Time_Min]]&lt;=30,"Fast",Table1[[#This Row],[Resolution_Time_Min]]&lt;=60,"Moderate",TRUE,"Slow")</f>
        <v>Moderate</v>
      </c>
      <c r="R38" t="str" cm="1">
        <f t="array" ref="R38">_xlfn.IFS(Table1[[#This Row],[CSAT_Score]]&gt;=4,"Satisfied",Table1[[#This Row],[CSAT_Score]]=3,"Neutral",TRUE,"Dissatisfied")</f>
        <v>Dissatisfied</v>
      </c>
      <c r="S38">
        <f>IF(Table1[[#This Row],[Reopen_Flag]]="Yes",1,0)</f>
        <v>1</v>
      </c>
      <c r="T38">
        <f>IF(Table1[[#This Row],[SLA_Status]]="Met",1,0)</f>
        <v>0</v>
      </c>
      <c r="U38">
        <f>IF(Table1[[#This Row],[SLA_Status]]="Met",Table1[[#This Row],[CSAT_Score]]*1,Table1[[#This Row],[CSAT_Score]]*0.5)</f>
        <v>1</v>
      </c>
      <c r="V38" t="str">
        <f>TEXT(Table1[[#This Row],[Ticket_Date]],"yyyy-mmm")</f>
        <v>2024-Jan</v>
      </c>
    </row>
    <row r="39" spans="1:22" x14ac:dyDescent="0.3">
      <c r="A39" t="s">
        <v>75</v>
      </c>
      <c r="B39" s="1">
        <v>45304</v>
      </c>
      <c r="C39" t="s">
        <v>44</v>
      </c>
      <c r="D39" t="s">
        <v>45</v>
      </c>
      <c r="E39" t="s">
        <v>16</v>
      </c>
      <c r="F39" t="s">
        <v>25</v>
      </c>
      <c r="G39" t="s">
        <v>18</v>
      </c>
      <c r="H39" t="s">
        <v>27</v>
      </c>
      <c r="I39" s="2">
        <v>0.38194444444444442</v>
      </c>
      <c r="J39" s="2">
        <v>0.40972222222222221</v>
      </c>
      <c r="K39">
        <v>40</v>
      </c>
      <c r="L39">
        <v>4</v>
      </c>
      <c r="M39" t="s">
        <v>20</v>
      </c>
      <c r="N39" s="3">
        <f>(Table1[[#This Row],[Close_Time]]-Table1[[#This Row],[Open_Time]])*1440</f>
        <v>40.000000000000014</v>
      </c>
      <c r="O39" t="str">
        <f>IF(Table1[[#This Row],[Resolution_Time_Min]]&lt;=Table1[[#This Row],[SLA_Target_Min]],"Met","Breached")</f>
        <v>Met</v>
      </c>
      <c r="P39">
        <f>IF(Table1[[#This Row],[SLA_Status]]="Breached",1,0)</f>
        <v>0</v>
      </c>
      <c r="Q39" t="str" cm="1">
        <f t="array" ref="Q39">_xlfn.IFS(Table1[[#This Row],[Resolution_Time_Min]]&lt;=15,"Very Fast",Table1[[#This Row],[Resolution_Time_Min]]&lt;=30,"Fast",Table1[[#This Row],[Resolution_Time_Min]]&lt;=60,"Moderate",TRUE,"Slow")</f>
        <v>Moderate</v>
      </c>
      <c r="R39" t="str" cm="1">
        <f t="array" ref="R39">_xlfn.IFS(Table1[[#This Row],[CSAT_Score]]&gt;=4,"Satisfied",Table1[[#This Row],[CSAT_Score]]=3,"Neutral",TRUE,"Dissatisfied")</f>
        <v>Satisfied</v>
      </c>
      <c r="S39">
        <f>IF(Table1[[#This Row],[Reopen_Flag]]="Yes",1,0)</f>
        <v>0</v>
      </c>
      <c r="T39">
        <f>IF(Table1[[#This Row],[SLA_Status]]="Met",1,0)</f>
        <v>1</v>
      </c>
      <c r="U39">
        <f>IF(Table1[[#This Row],[SLA_Status]]="Met",Table1[[#This Row],[CSAT_Score]]*1,Table1[[#This Row],[CSAT_Score]]*0.5)</f>
        <v>4</v>
      </c>
      <c r="V39" t="str">
        <f>TEXT(Table1[[#This Row],[Ticket_Date]],"yyyy-mmm")</f>
        <v>2024-Jan</v>
      </c>
    </row>
    <row r="40" spans="1:22" x14ac:dyDescent="0.3">
      <c r="A40" t="s">
        <v>76</v>
      </c>
      <c r="B40" s="1">
        <v>45304</v>
      </c>
      <c r="C40" t="s">
        <v>29</v>
      </c>
      <c r="D40" t="s">
        <v>30</v>
      </c>
      <c r="E40" t="s">
        <v>16</v>
      </c>
      <c r="F40" t="s">
        <v>31</v>
      </c>
      <c r="G40" t="s">
        <v>18</v>
      </c>
      <c r="H40" t="s">
        <v>32</v>
      </c>
      <c r="I40" s="2">
        <v>0.43402777777777779</v>
      </c>
      <c r="J40" s="2">
        <v>0.47222222222222221</v>
      </c>
      <c r="K40">
        <v>60</v>
      </c>
      <c r="L40">
        <v>5</v>
      </c>
      <c r="M40" t="s">
        <v>20</v>
      </c>
      <c r="N40" s="3">
        <f>(Table1[[#This Row],[Close_Time]]-Table1[[#This Row],[Open_Time]])*1440</f>
        <v>54.999999999999964</v>
      </c>
      <c r="O40" t="str">
        <f>IF(Table1[[#This Row],[Resolution_Time_Min]]&lt;=Table1[[#This Row],[SLA_Target_Min]],"Met","Breached")</f>
        <v>Met</v>
      </c>
      <c r="P40">
        <f>IF(Table1[[#This Row],[SLA_Status]]="Breached",1,0)</f>
        <v>0</v>
      </c>
      <c r="Q40" t="str" cm="1">
        <f t="array" ref="Q40">_xlfn.IFS(Table1[[#This Row],[Resolution_Time_Min]]&lt;=15,"Very Fast",Table1[[#This Row],[Resolution_Time_Min]]&lt;=30,"Fast",Table1[[#This Row],[Resolution_Time_Min]]&lt;=60,"Moderate",TRUE,"Slow")</f>
        <v>Moderate</v>
      </c>
      <c r="R40" t="str" cm="1">
        <f t="array" ref="R40">_xlfn.IFS(Table1[[#This Row],[CSAT_Score]]&gt;=4,"Satisfied",Table1[[#This Row],[CSAT_Score]]=3,"Neutral",TRUE,"Dissatisfied")</f>
        <v>Satisfied</v>
      </c>
      <c r="S40">
        <f>IF(Table1[[#This Row],[Reopen_Flag]]="Yes",1,0)</f>
        <v>0</v>
      </c>
      <c r="T40">
        <f>IF(Table1[[#This Row],[SLA_Status]]="Met",1,0)</f>
        <v>1</v>
      </c>
      <c r="U40">
        <f>IF(Table1[[#This Row],[SLA_Status]]="Met",Table1[[#This Row],[CSAT_Score]]*1,Table1[[#This Row],[CSAT_Score]]*0.5)</f>
        <v>5</v>
      </c>
      <c r="V40" t="str">
        <f>TEXT(Table1[[#This Row],[Ticket_Date]],"yyyy-mmm")</f>
        <v>2024-Jan</v>
      </c>
    </row>
    <row r="41" spans="1:22" x14ac:dyDescent="0.3">
      <c r="A41" t="s">
        <v>77</v>
      </c>
      <c r="B41" s="1">
        <v>45304</v>
      </c>
      <c r="C41" t="s">
        <v>34</v>
      </c>
      <c r="D41" t="s">
        <v>35</v>
      </c>
      <c r="E41" t="s">
        <v>36</v>
      </c>
      <c r="F41" t="s">
        <v>17</v>
      </c>
      <c r="G41" t="s">
        <v>26</v>
      </c>
      <c r="H41" t="s">
        <v>19</v>
      </c>
      <c r="I41" s="2">
        <v>0.50347222222222221</v>
      </c>
      <c r="J41" s="2">
        <v>0.54166666666666663</v>
      </c>
      <c r="K41">
        <v>30</v>
      </c>
      <c r="L41">
        <v>2</v>
      </c>
      <c r="M41" t="s">
        <v>37</v>
      </c>
      <c r="N41" s="3">
        <f>(Table1[[#This Row],[Close_Time]]-Table1[[#This Row],[Open_Time]])*1440</f>
        <v>54.999999999999964</v>
      </c>
      <c r="O41" t="str">
        <f>IF(Table1[[#This Row],[Resolution_Time_Min]]&lt;=Table1[[#This Row],[SLA_Target_Min]],"Met","Breached")</f>
        <v>Breached</v>
      </c>
      <c r="P41">
        <f>IF(Table1[[#This Row],[SLA_Status]]="Breached",1,0)</f>
        <v>1</v>
      </c>
      <c r="Q41" t="str" cm="1">
        <f t="array" ref="Q41">_xlfn.IFS(Table1[[#This Row],[Resolution_Time_Min]]&lt;=15,"Very Fast",Table1[[#This Row],[Resolution_Time_Min]]&lt;=30,"Fast",Table1[[#This Row],[Resolution_Time_Min]]&lt;=60,"Moderate",TRUE,"Slow")</f>
        <v>Moderate</v>
      </c>
      <c r="R41" t="str" cm="1">
        <f t="array" ref="R41">_xlfn.IFS(Table1[[#This Row],[CSAT_Score]]&gt;=4,"Satisfied",Table1[[#This Row],[CSAT_Score]]=3,"Neutral",TRUE,"Dissatisfied")</f>
        <v>Dissatisfied</v>
      </c>
      <c r="S41">
        <f>IF(Table1[[#This Row],[Reopen_Flag]]="Yes",1,0)</f>
        <v>1</v>
      </c>
      <c r="T41">
        <f>IF(Table1[[#This Row],[SLA_Status]]="Met",1,0)</f>
        <v>0</v>
      </c>
      <c r="U41">
        <f>IF(Table1[[#This Row],[SLA_Status]]="Met",Table1[[#This Row],[CSAT_Score]]*1,Table1[[#This Row],[CSAT_Score]]*0.5)</f>
        <v>1</v>
      </c>
      <c r="V41" t="str">
        <f>TEXT(Table1[[#This Row],[Ticket_Date]],"yyyy-mmm")</f>
        <v>2024-Jan</v>
      </c>
    </row>
    <row r="42" spans="1:22" x14ac:dyDescent="0.3">
      <c r="A42" t="s">
        <v>78</v>
      </c>
      <c r="B42" s="1">
        <v>45305</v>
      </c>
      <c r="C42" t="s">
        <v>14</v>
      </c>
      <c r="D42" t="s">
        <v>15</v>
      </c>
      <c r="E42" t="s">
        <v>16</v>
      </c>
      <c r="F42" t="s">
        <v>17</v>
      </c>
      <c r="G42" t="s">
        <v>18</v>
      </c>
      <c r="H42" t="s">
        <v>27</v>
      </c>
      <c r="I42" s="2">
        <v>0.39930555555555558</v>
      </c>
      <c r="J42" s="2">
        <v>0.4236111111111111</v>
      </c>
      <c r="K42">
        <v>40</v>
      </c>
      <c r="L42">
        <v>4</v>
      </c>
      <c r="M42" t="s">
        <v>20</v>
      </c>
      <c r="N42" s="3">
        <f>(Table1[[#This Row],[Close_Time]]-Table1[[#This Row],[Open_Time]])*1440</f>
        <v>34.999999999999957</v>
      </c>
      <c r="O42" t="str">
        <f>IF(Table1[[#This Row],[Resolution_Time_Min]]&lt;=Table1[[#This Row],[SLA_Target_Min]],"Met","Breached")</f>
        <v>Met</v>
      </c>
      <c r="P42">
        <f>IF(Table1[[#This Row],[SLA_Status]]="Breached",1,0)</f>
        <v>0</v>
      </c>
      <c r="Q42" t="str" cm="1">
        <f t="array" ref="Q42">_xlfn.IFS(Table1[[#This Row],[Resolution_Time_Min]]&lt;=15,"Very Fast",Table1[[#This Row],[Resolution_Time_Min]]&lt;=30,"Fast",Table1[[#This Row],[Resolution_Time_Min]]&lt;=60,"Moderate",TRUE,"Slow")</f>
        <v>Moderate</v>
      </c>
      <c r="R42" t="str" cm="1">
        <f t="array" ref="R42">_xlfn.IFS(Table1[[#This Row],[CSAT_Score]]&gt;=4,"Satisfied",Table1[[#This Row],[CSAT_Score]]=3,"Neutral",TRUE,"Dissatisfied")</f>
        <v>Satisfied</v>
      </c>
      <c r="S42">
        <f>IF(Table1[[#This Row],[Reopen_Flag]]="Yes",1,0)</f>
        <v>0</v>
      </c>
      <c r="T42">
        <f>IF(Table1[[#This Row],[SLA_Status]]="Met",1,0)</f>
        <v>1</v>
      </c>
      <c r="U42">
        <f>IF(Table1[[#This Row],[SLA_Status]]="Met",Table1[[#This Row],[CSAT_Score]]*1,Table1[[#This Row],[CSAT_Score]]*0.5)</f>
        <v>4</v>
      </c>
      <c r="V42" t="str">
        <f>TEXT(Table1[[#This Row],[Ticket_Date]],"yyyy-mmm")</f>
        <v>2024-Jan</v>
      </c>
    </row>
    <row r="43" spans="1:22" x14ac:dyDescent="0.3">
      <c r="A43" t="s">
        <v>79</v>
      </c>
      <c r="B43" s="1">
        <v>45305</v>
      </c>
      <c r="C43" t="s">
        <v>22</v>
      </c>
      <c r="D43" t="s">
        <v>23</v>
      </c>
      <c r="E43" t="s">
        <v>24</v>
      </c>
      <c r="F43" t="s">
        <v>25</v>
      </c>
      <c r="G43" t="s">
        <v>26</v>
      </c>
      <c r="H43" t="s">
        <v>32</v>
      </c>
      <c r="I43" s="2">
        <v>0.44791666666666669</v>
      </c>
      <c r="J43" s="2">
        <v>0.47916666666666669</v>
      </c>
      <c r="K43">
        <v>60</v>
      </c>
      <c r="L43">
        <v>5</v>
      </c>
      <c r="M43" t="s">
        <v>20</v>
      </c>
      <c r="N43" s="3">
        <f>(Table1[[#This Row],[Close_Time]]-Table1[[#This Row],[Open_Time]])*1440</f>
        <v>45</v>
      </c>
      <c r="O43" t="str">
        <f>IF(Table1[[#This Row],[Resolution_Time_Min]]&lt;=Table1[[#This Row],[SLA_Target_Min]],"Met","Breached")</f>
        <v>Met</v>
      </c>
      <c r="P43">
        <f>IF(Table1[[#This Row],[SLA_Status]]="Breached",1,0)</f>
        <v>0</v>
      </c>
      <c r="Q43" t="str" cm="1">
        <f t="array" ref="Q43">_xlfn.IFS(Table1[[#This Row],[Resolution_Time_Min]]&lt;=15,"Very Fast",Table1[[#This Row],[Resolution_Time_Min]]&lt;=30,"Fast",Table1[[#This Row],[Resolution_Time_Min]]&lt;=60,"Moderate",TRUE,"Slow")</f>
        <v>Moderate</v>
      </c>
      <c r="R43" t="str" cm="1">
        <f t="array" ref="R43">_xlfn.IFS(Table1[[#This Row],[CSAT_Score]]&gt;=4,"Satisfied",Table1[[#This Row],[CSAT_Score]]=3,"Neutral",TRUE,"Dissatisfied")</f>
        <v>Satisfied</v>
      </c>
      <c r="S43">
        <f>IF(Table1[[#This Row],[Reopen_Flag]]="Yes",1,0)</f>
        <v>0</v>
      </c>
      <c r="T43">
        <f>IF(Table1[[#This Row],[SLA_Status]]="Met",1,0)</f>
        <v>1</v>
      </c>
      <c r="U43">
        <f>IF(Table1[[#This Row],[SLA_Status]]="Met",Table1[[#This Row],[CSAT_Score]]*1,Table1[[#This Row],[CSAT_Score]]*0.5)</f>
        <v>5</v>
      </c>
      <c r="V43" t="str">
        <f>TEXT(Table1[[#This Row],[Ticket_Date]],"yyyy-mmm")</f>
        <v>2024-Jan</v>
      </c>
    </row>
    <row r="44" spans="1:22" x14ac:dyDescent="0.3">
      <c r="A44" t="s">
        <v>80</v>
      </c>
      <c r="B44" s="1">
        <v>45305</v>
      </c>
      <c r="C44" t="s">
        <v>41</v>
      </c>
      <c r="D44" t="s">
        <v>42</v>
      </c>
      <c r="E44" t="s">
        <v>36</v>
      </c>
      <c r="F44" t="s">
        <v>17</v>
      </c>
      <c r="G44" t="s">
        <v>26</v>
      </c>
      <c r="H44" t="s">
        <v>27</v>
      </c>
      <c r="I44" s="2">
        <v>0.51041666666666663</v>
      </c>
      <c r="J44" s="2">
        <v>0.53819444444444442</v>
      </c>
      <c r="K44">
        <v>40</v>
      </c>
      <c r="L44">
        <v>3</v>
      </c>
      <c r="M44" t="s">
        <v>20</v>
      </c>
      <c r="N44" s="3">
        <f>(Table1[[#This Row],[Close_Time]]-Table1[[#This Row],[Open_Time]])*1440</f>
        <v>40.000000000000014</v>
      </c>
      <c r="O44" t="str">
        <f>IF(Table1[[#This Row],[Resolution_Time_Min]]&lt;=Table1[[#This Row],[SLA_Target_Min]],"Met","Breached")</f>
        <v>Met</v>
      </c>
      <c r="P44">
        <f>IF(Table1[[#This Row],[SLA_Status]]="Breached",1,0)</f>
        <v>0</v>
      </c>
      <c r="Q44" t="str" cm="1">
        <f t="array" ref="Q44">_xlfn.IFS(Table1[[#This Row],[Resolution_Time_Min]]&lt;=15,"Very Fast",Table1[[#This Row],[Resolution_Time_Min]]&lt;=30,"Fast",Table1[[#This Row],[Resolution_Time_Min]]&lt;=60,"Moderate",TRUE,"Slow")</f>
        <v>Moderate</v>
      </c>
      <c r="R44" t="str" cm="1">
        <f t="array" ref="R44">_xlfn.IFS(Table1[[#This Row],[CSAT_Score]]&gt;=4,"Satisfied",Table1[[#This Row],[CSAT_Score]]=3,"Neutral",TRUE,"Dissatisfied")</f>
        <v>Neutral</v>
      </c>
      <c r="S44">
        <f>IF(Table1[[#This Row],[Reopen_Flag]]="Yes",1,0)</f>
        <v>0</v>
      </c>
      <c r="T44">
        <f>IF(Table1[[#This Row],[SLA_Status]]="Met",1,0)</f>
        <v>1</v>
      </c>
      <c r="U44">
        <f>IF(Table1[[#This Row],[SLA_Status]]="Met",Table1[[#This Row],[CSAT_Score]]*1,Table1[[#This Row],[CSAT_Score]]*0.5)</f>
        <v>3</v>
      </c>
      <c r="V44" t="str">
        <f>TEXT(Table1[[#This Row],[Ticket_Date]],"yyyy-mmm")</f>
        <v>2024-Jan</v>
      </c>
    </row>
    <row r="45" spans="1:22" x14ac:dyDescent="0.3">
      <c r="A45" t="s">
        <v>81</v>
      </c>
      <c r="B45" s="1">
        <v>45306</v>
      </c>
      <c r="C45" t="s">
        <v>44</v>
      </c>
      <c r="D45" t="s">
        <v>45</v>
      </c>
      <c r="E45" t="s">
        <v>16</v>
      </c>
      <c r="F45" t="s">
        <v>31</v>
      </c>
      <c r="G45" t="s">
        <v>18</v>
      </c>
      <c r="H45" t="s">
        <v>32</v>
      </c>
      <c r="I45" s="2">
        <v>0.3888888888888889</v>
      </c>
      <c r="J45" s="2">
        <v>0.42708333333333331</v>
      </c>
      <c r="K45">
        <v>60</v>
      </c>
      <c r="L45">
        <v>5</v>
      </c>
      <c r="M45" t="s">
        <v>20</v>
      </c>
      <c r="N45" s="3">
        <f>(Table1[[#This Row],[Close_Time]]-Table1[[#This Row],[Open_Time]])*1440</f>
        <v>54.999999999999964</v>
      </c>
      <c r="O45" t="str">
        <f>IF(Table1[[#This Row],[Resolution_Time_Min]]&lt;=Table1[[#This Row],[SLA_Target_Min]],"Met","Breached")</f>
        <v>Met</v>
      </c>
      <c r="P45">
        <f>IF(Table1[[#This Row],[SLA_Status]]="Breached",1,0)</f>
        <v>0</v>
      </c>
      <c r="Q45" t="str" cm="1">
        <f t="array" ref="Q45">_xlfn.IFS(Table1[[#This Row],[Resolution_Time_Min]]&lt;=15,"Very Fast",Table1[[#This Row],[Resolution_Time_Min]]&lt;=30,"Fast",Table1[[#This Row],[Resolution_Time_Min]]&lt;=60,"Moderate",TRUE,"Slow")</f>
        <v>Moderate</v>
      </c>
      <c r="R45" t="str" cm="1">
        <f t="array" ref="R45">_xlfn.IFS(Table1[[#This Row],[CSAT_Score]]&gt;=4,"Satisfied",Table1[[#This Row],[CSAT_Score]]=3,"Neutral",TRUE,"Dissatisfied")</f>
        <v>Satisfied</v>
      </c>
      <c r="S45">
        <f>IF(Table1[[#This Row],[Reopen_Flag]]="Yes",1,0)</f>
        <v>0</v>
      </c>
      <c r="T45">
        <f>IF(Table1[[#This Row],[SLA_Status]]="Met",1,0)</f>
        <v>1</v>
      </c>
      <c r="U45">
        <f>IF(Table1[[#This Row],[SLA_Status]]="Met",Table1[[#This Row],[CSAT_Score]]*1,Table1[[#This Row],[CSAT_Score]]*0.5)</f>
        <v>5</v>
      </c>
      <c r="V45" t="str">
        <f>TEXT(Table1[[#This Row],[Ticket_Date]],"yyyy-mmm")</f>
        <v>2024-Jan</v>
      </c>
    </row>
    <row r="46" spans="1:22" x14ac:dyDescent="0.3">
      <c r="A46" t="s">
        <v>82</v>
      </c>
      <c r="B46" s="1">
        <v>45306</v>
      </c>
      <c r="C46" t="s">
        <v>29</v>
      </c>
      <c r="D46" t="s">
        <v>30</v>
      </c>
      <c r="E46" t="s">
        <v>16</v>
      </c>
      <c r="F46" t="s">
        <v>17</v>
      </c>
      <c r="G46" t="s">
        <v>18</v>
      </c>
      <c r="H46" t="s">
        <v>19</v>
      </c>
      <c r="I46" s="2">
        <v>0.44444444444444442</v>
      </c>
      <c r="J46" s="2">
        <v>0.4826388888888889</v>
      </c>
      <c r="K46">
        <v>30</v>
      </c>
      <c r="L46">
        <v>3</v>
      </c>
      <c r="M46" t="s">
        <v>20</v>
      </c>
      <c r="N46" s="3">
        <f>(Table1[[#This Row],[Close_Time]]-Table1[[#This Row],[Open_Time]])*1440</f>
        <v>55.000000000000043</v>
      </c>
      <c r="O46" t="str">
        <f>IF(Table1[[#This Row],[Resolution_Time_Min]]&lt;=Table1[[#This Row],[SLA_Target_Min]],"Met","Breached")</f>
        <v>Breached</v>
      </c>
      <c r="P46">
        <f>IF(Table1[[#This Row],[SLA_Status]]="Breached",1,0)</f>
        <v>1</v>
      </c>
      <c r="Q46" t="str" cm="1">
        <f t="array" ref="Q46">_xlfn.IFS(Table1[[#This Row],[Resolution_Time_Min]]&lt;=15,"Very Fast",Table1[[#This Row],[Resolution_Time_Min]]&lt;=30,"Fast",Table1[[#This Row],[Resolution_Time_Min]]&lt;=60,"Moderate",TRUE,"Slow")</f>
        <v>Moderate</v>
      </c>
      <c r="R46" t="str" cm="1">
        <f t="array" ref="R46">_xlfn.IFS(Table1[[#This Row],[CSAT_Score]]&gt;=4,"Satisfied",Table1[[#This Row],[CSAT_Score]]=3,"Neutral",TRUE,"Dissatisfied")</f>
        <v>Neutral</v>
      </c>
      <c r="S46">
        <f>IF(Table1[[#This Row],[Reopen_Flag]]="Yes",1,0)</f>
        <v>0</v>
      </c>
      <c r="T46">
        <f>IF(Table1[[#This Row],[SLA_Status]]="Met",1,0)</f>
        <v>0</v>
      </c>
      <c r="U46">
        <f>IF(Table1[[#This Row],[SLA_Status]]="Met",Table1[[#This Row],[CSAT_Score]]*1,Table1[[#This Row],[CSAT_Score]]*0.5)</f>
        <v>1.5</v>
      </c>
      <c r="V46" t="str">
        <f>TEXT(Table1[[#This Row],[Ticket_Date]],"yyyy-mmm")</f>
        <v>2024-Jan</v>
      </c>
    </row>
    <row r="47" spans="1:22" x14ac:dyDescent="0.3">
      <c r="A47" t="s">
        <v>83</v>
      </c>
      <c r="B47" s="1">
        <v>45306</v>
      </c>
      <c r="C47" t="s">
        <v>34</v>
      </c>
      <c r="D47" t="s">
        <v>35</v>
      </c>
      <c r="E47" t="s">
        <v>36</v>
      </c>
      <c r="F47" t="s">
        <v>25</v>
      </c>
      <c r="G47" t="s">
        <v>26</v>
      </c>
      <c r="H47" t="s">
        <v>27</v>
      </c>
      <c r="I47" s="2">
        <v>0.50694444444444442</v>
      </c>
      <c r="J47" s="2">
        <v>0.53125</v>
      </c>
      <c r="K47">
        <v>40</v>
      </c>
      <c r="L47">
        <v>4</v>
      </c>
      <c r="M47" t="s">
        <v>20</v>
      </c>
      <c r="N47" s="3">
        <f>(Table1[[#This Row],[Close_Time]]-Table1[[#This Row],[Open_Time]])*1440</f>
        <v>35.000000000000036</v>
      </c>
      <c r="O47" t="str">
        <f>IF(Table1[[#This Row],[Resolution_Time_Min]]&lt;=Table1[[#This Row],[SLA_Target_Min]],"Met","Breached")</f>
        <v>Met</v>
      </c>
      <c r="P47">
        <f>IF(Table1[[#This Row],[SLA_Status]]="Breached",1,0)</f>
        <v>0</v>
      </c>
      <c r="Q47" t="str" cm="1">
        <f t="array" ref="Q47">_xlfn.IFS(Table1[[#This Row],[Resolution_Time_Min]]&lt;=15,"Very Fast",Table1[[#This Row],[Resolution_Time_Min]]&lt;=30,"Fast",Table1[[#This Row],[Resolution_Time_Min]]&lt;=60,"Moderate",TRUE,"Slow")</f>
        <v>Moderate</v>
      </c>
      <c r="R47" t="str" cm="1">
        <f t="array" ref="R47">_xlfn.IFS(Table1[[#This Row],[CSAT_Score]]&gt;=4,"Satisfied",Table1[[#This Row],[CSAT_Score]]=3,"Neutral",TRUE,"Dissatisfied")</f>
        <v>Satisfied</v>
      </c>
      <c r="S47">
        <f>IF(Table1[[#This Row],[Reopen_Flag]]="Yes",1,0)</f>
        <v>0</v>
      </c>
      <c r="T47">
        <f>IF(Table1[[#This Row],[SLA_Status]]="Met",1,0)</f>
        <v>1</v>
      </c>
      <c r="U47">
        <f>IF(Table1[[#This Row],[SLA_Status]]="Met",Table1[[#This Row],[CSAT_Score]]*1,Table1[[#This Row],[CSAT_Score]]*0.5)</f>
        <v>4</v>
      </c>
      <c r="V47" t="str">
        <f>TEXT(Table1[[#This Row],[Ticket_Date]],"yyyy-mmm")</f>
        <v>2024-Jan</v>
      </c>
    </row>
    <row r="48" spans="1:22" x14ac:dyDescent="0.3">
      <c r="A48" t="s">
        <v>84</v>
      </c>
      <c r="B48" s="1">
        <v>45307</v>
      </c>
      <c r="C48" t="s">
        <v>14</v>
      </c>
      <c r="D48" t="s">
        <v>15</v>
      </c>
      <c r="E48" t="s">
        <v>16</v>
      </c>
      <c r="F48" t="s">
        <v>17</v>
      </c>
      <c r="G48" t="s">
        <v>18</v>
      </c>
      <c r="H48" t="s">
        <v>19</v>
      </c>
      <c r="I48" s="2">
        <v>0.37847222222222221</v>
      </c>
      <c r="J48" s="2">
        <v>0.41666666666666669</v>
      </c>
      <c r="K48">
        <v>30</v>
      </c>
      <c r="L48">
        <v>2</v>
      </c>
      <c r="M48" t="s">
        <v>37</v>
      </c>
      <c r="N48" s="3">
        <f>(Table1[[#This Row],[Close_Time]]-Table1[[#This Row],[Open_Time]])*1440</f>
        <v>55.000000000000043</v>
      </c>
      <c r="O48" t="str">
        <f>IF(Table1[[#This Row],[Resolution_Time_Min]]&lt;=Table1[[#This Row],[SLA_Target_Min]],"Met","Breached")</f>
        <v>Breached</v>
      </c>
      <c r="P48">
        <f>IF(Table1[[#This Row],[SLA_Status]]="Breached",1,0)</f>
        <v>1</v>
      </c>
      <c r="Q48" t="str" cm="1">
        <f t="array" ref="Q48">_xlfn.IFS(Table1[[#This Row],[Resolution_Time_Min]]&lt;=15,"Very Fast",Table1[[#This Row],[Resolution_Time_Min]]&lt;=30,"Fast",Table1[[#This Row],[Resolution_Time_Min]]&lt;=60,"Moderate",TRUE,"Slow")</f>
        <v>Moderate</v>
      </c>
      <c r="R48" t="str" cm="1">
        <f t="array" ref="R48">_xlfn.IFS(Table1[[#This Row],[CSAT_Score]]&gt;=4,"Satisfied",Table1[[#This Row],[CSAT_Score]]=3,"Neutral",TRUE,"Dissatisfied")</f>
        <v>Dissatisfied</v>
      </c>
      <c r="S48">
        <f>IF(Table1[[#This Row],[Reopen_Flag]]="Yes",1,0)</f>
        <v>1</v>
      </c>
      <c r="T48">
        <f>IF(Table1[[#This Row],[SLA_Status]]="Met",1,0)</f>
        <v>0</v>
      </c>
      <c r="U48">
        <f>IF(Table1[[#This Row],[SLA_Status]]="Met",Table1[[#This Row],[CSAT_Score]]*1,Table1[[#This Row],[CSAT_Score]]*0.5)</f>
        <v>1</v>
      </c>
      <c r="V48" t="str">
        <f>TEXT(Table1[[#This Row],[Ticket_Date]],"yyyy-mmm")</f>
        <v>2024-Jan</v>
      </c>
    </row>
    <row r="49" spans="1:22" x14ac:dyDescent="0.3">
      <c r="A49" t="s">
        <v>85</v>
      </c>
      <c r="B49" s="1">
        <v>45307</v>
      </c>
      <c r="C49" t="s">
        <v>22</v>
      </c>
      <c r="D49" t="s">
        <v>23</v>
      </c>
      <c r="E49" t="s">
        <v>24</v>
      </c>
      <c r="F49" t="s">
        <v>31</v>
      </c>
      <c r="G49" t="s">
        <v>18</v>
      </c>
      <c r="H49" t="s">
        <v>32</v>
      </c>
      <c r="I49" s="2">
        <v>0.4375</v>
      </c>
      <c r="J49" s="2">
        <v>0.47222222222222221</v>
      </c>
      <c r="K49">
        <v>60</v>
      </c>
      <c r="L49">
        <v>5</v>
      </c>
      <c r="M49" t="s">
        <v>20</v>
      </c>
      <c r="N49" s="3">
        <f>(Table1[[#This Row],[Close_Time]]-Table1[[#This Row],[Open_Time]])*1440</f>
        <v>49.999999999999986</v>
      </c>
      <c r="O49" t="str">
        <f>IF(Table1[[#This Row],[Resolution_Time_Min]]&lt;=Table1[[#This Row],[SLA_Target_Min]],"Met","Breached")</f>
        <v>Met</v>
      </c>
      <c r="P49">
        <f>IF(Table1[[#This Row],[SLA_Status]]="Breached",1,0)</f>
        <v>0</v>
      </c>
      <c r="Q49" t="str" cm="1">
        <f t="array" ref="Q49">_xlfn.IFS(Table1[[#This Row],[Resolution_Time_Min]]&lt;=15,"Very Fast",Table1[[#This Row],[Resolution_Time_Min]]&lt;=30,"Fast",Table1[[#This Row],[Resolution_Time_Min]]&lt;=60,"Moderate",TRUE,"Slow")</f>
        <v>Moderate</v>
      </c>
      <c r="R49" t="str" cm="1">
        <f t="array" ref="R49">_xlfn.IFS(Table1[[#This Row],[CSAT_Score]]&gt;=4,"Satisfied",Table1[[#This Row],[CSAT_Score]]=3,"Neutral",TRUE,"Dissatisfied")</f>
        <v>Satisfied</v>
      </c>
      <c r="S49">
        <f>IF(Table1[[#This Row],[Reopen_Flag]]="Yes",1,0)</f>
        <v>0</v>
      </c>
      <c r="T49">
        <f>IF(Table1[[#This Row],[SLA_Status]]="Met",1,0)</f>
        <v>1</v>
      </c>
      <c r="U49">
        <f>IF(Table1[[#This Row],[SLA_Status]]="Met",Table1[[#This Row],[CSAT_Score]]*1,Table1[[#This Row],[CSAT_Score]]*0.5)</f>
        <v>5</v>
      </c>
      <c r="V49" t="str">
        <f>TEXT(Table1[[#This Row],[Ticket_Date]],"yyyy-mmm")</f>
        <v>2024-Jan</v>
      </c>
    </row>
    <row r="50" spans="1:22" x14ac:dyDescent="0.3">
      <c r="A50" t="s">
        <v>86</v>
      </c>
      <c r="B50" s="1">
        <v>45307</v>
      </c>
      <c r="C50" t="s">
        <v>41</v>
      </c>
      <c r="D50" t="s">
        <v>42</v>
      </c>
      <c r="E50" t="s">
        <v>36</v>
      </c>
      <c r="F50" t="s">
        <v>17</v>
      </c>
      <c r="G50" t="s">
        <v>26</v>
      </c>
      <c r="H50" t="s">
        <v>19</v>
      </c>
      <c r="I50" s="2">
        <v>0.51736111111111116</v>
      </c>
      <c r="J50" s="2">
        <v>0.55555555555555558</v>
      </c>
      <c r="K50">
        <v>30</v>
      </c>
      <c r="L50">
        <v>2</v>
      </c>
      <c r="M50" t="s">
        <v>37</v>
      </c>
      <c r="N50" s="3">
        <f>(Table1[[#This Row],[Close_Time]]-Table1[[#This Row],[Open_Time]])*1440</f>
        <v>54.999999999999964</v>
      </c>
      <c r="O50" t="str">
        <f>IF(Table1[[#This Row],[Resolution_Time_Min]]&lt;=Table1[[#This Row],[SLA_Target_Min]],"Met","Breached")</f>
        <v>Breached</v>
      </c>
      <c r="P50">
        <f>IF(Table1[[#This Row],[SLA_Status]]="Breached",1,0)</f>
        <v>1</v>
      </c>
      <c r="Q50" t="str" cm="1">
        <f t="array" ref="Q50">_xlfn.IFS(Table1[[#This Row],[Resolution_Time_Min]]&lt;=15,"Very Fast",Table1[[#This Row],[Resolution_Time_Min]]&lt;=30,"Fast",Table1[[#This Row],[Resolution_Time_Min]]&lt;=60,"Moderate",TRUE,"Slow")</f>
        <v>Moderate</v>
      </c>
      <c r="R50" t="str" cm="1">
        <f t="array" ref="R50">_xlfn.IFS(Table1[[#This Row],[CSAT_Score]]&gt;=4,"Satisfied",Table1[[#This Row],[CSAT_Score]]=3,"Neutral",TRUE,"Dissatisfied")</f>
        <v>Dissatisfied</v>
      </c>
      <c r="S50">
        <f>IF(Table1[[#This Row],[Reopen_Flag]]="Yes",1,0)</f>
        <v>1</v>
      </c>
      <c r="T50">
        <f>IF(Table1[[#This Row],[SLA_Status]]="Met",1,0)</f>
        <v>0</v>
      </c>
      <c r="U50">
        <f>IF(Table1[[#This Row],[SLA_Status]]="Met",Table1[[#This Row],[CSAT_Score]]*1,Table1[[#This Row],[CSAT_Score]]*0.5)</f>
        <v>1</v>
      </c>
      <c r="V50" t="str">
        <f>TEXT(Table1[[#This Row],[Ticket_Date]],"yyyy-mmm")</f>
        <v>2024-Jan</v>
      </c>
    </row>
    <row r="51" spans="1:22" x14ac:dyDescent="0.3">
      <c r="A51" t="s">
        <v>87</v>
      </c>
      <c r="B51" s="1">
        <v>45308</v>
      </c>
      <c r="C51" t="s">
        <v>44</v>
      </c>
      <c r="D51" t="s">
        <v>45</v>
      </c>
      <c r="E51" t="s">
        <v>16</v>
      </c>
      <c r="F51" t="s">
        <v>25</v>
      </c>
      <c r="G51" t="s">
        <v>18</v>
      </c>
      <c r="H51" t="s">
        <v>27</v>
      </c>
      <c r="I51" s="2">
        <v>0.38541666666666669</v>
      </c>
      <c r="J51" s="2">
        <v>0.41319444444444442</v>
      </c>
      <c r="K51">
        <v>40</v>
      </c>
      <c r="L51">
        <v>4</v>
      </c>
      <c r="M51" t="s">
        <v>20</v>
      </c>
      <c r="N51" s="3">
        <f>(Table1[[#This Row],[Close_Time]]-Table1[[#This Row],[Open_Time]])*1440</f>
        <v>39.999999999999936</v>
      </c>
      <c r="O51" t="str">
        <f>IF(Table1[[#This Row],[Resolution_Time_Min]]&lt;=Table1[[#This Row],[SLA_Target_Min]],"Met","Breached")</f>
        <v>Met</v>
      </c>
      <c r="P51">
        <f>IF(Table1[[#This Row],[SLA_Status]]="Breached",1,0)</f>
        <v>0</v>
      </c>
      <c r="Q51" t="str" cm="1">
        <f t="array" ref="Q51">_xlfn.IFS(Table1[[#This Row],[Resolution_Time_Min]]&lt;=15,"Very Fast",Table1[[#This Row],[Resolution_Time_Min]]&lt;=30,"Fast",Table1[[#This Row],[Resolution_Time_Min]]&lt;=60,"Moderate",TRUE,"Slow")</f>
        <v>Moderate</v>
      </c>
      <c r="R51" t="str" cm="1">
        <f t="array" ref="R51">_xlfn.IFS(Table1[[#This Row],[CSAT_Score]]&gt;=4,"Satisfied",Table1[[#This Row],[CSAT_Score]]=3,"Neutral",TRUE,"Dissatisfied")</f>
        <v>Satisfied</v>
      </c>
      <c r="S51">
        <f>IF(Table1[[#This Row],[Reopen_Flag]]="Yes",1,0)</f>
        <v>0</v>
      </c>
      <c r="T51">
        <f>IF(Table1[[#This Row],[SLA_Status]]="Met",1,0)</f>
        <v>1</v>
      </c>
      <c r="U51">
        <f>IF(Table1[[#This Row],[SLA_Status]]="Met",Table1[[#This Row],[CSAT_Score]]*1,Table1[[#This Row],[CSAT_Score]]*0.5)</f>
        <v>4</v>
      </c>
      <c r="V51" t="str">
        <f>TEXT(Table1[[#This Row],[Ticket_Date]],"yyyy-mmm")</f>
        <v>2024-Jan</v>
      </c>
    </row>
    <row r="52" spans="1:22" x14ac:dyDescent="0.3">
      <c r="A52" t="s">
        <v>88</v>
      </c>
      <c r="B52" s="1">
        <v>45308</v>
      </c>
      <c r="C52" t="s">
        <v>29</v>
      </c>
      <c r="D52" t="s">
        <v>30</v>
      </c>
      <c r="E52" t="s">
        <v>16</v>
      </c>
      <c r="F52" t="s">
        <v>17</v>
      </c>
      <c r="G52" t="s">
        <v>18</v>
      </c>
      <c r="H52" t="s">
        <v>27</v>
      </c>
      <c r="I52" s="2">
        <v>0.4236111111111111</v>
      </c>
      <c r="J52" s="2">
        <v>0.4513888888888889</v>
      </c>
      <c r="K52">
        <v>40</v>
      </c>
      <c r="L52">
        <v>4</v>
      </c>
      <c r="M52" t="s">
        <v>20</v>
      </c>
      <c r="N52" s="3">
        <f>(Table1[[#This Row],[Close_Time]]-Table1[[#This Row],[Open_Time]])*1440</f>
        <v>40.000000000000014</v>
      </c>
      <c r="O52" t="str">
        <f>IF(Table1[[#This Row],[Resolution_Time_Min]]&lt;=Table1[[#This Row],[SLA_Target_Min]],"Met","Breached")</f>
        <v>Met</v>
      </c>
      <c r="P52">
        <f>IF(Table1[[#This Row],[SLA_Status]]="Breached",1,0)</f>
        <v>0</v>
      </c>
      <c r="Q52" t="str" cm="1">
        <f t="array" ref="Q52">_xlfn.IFS(Table1[[#This Row],[Resolution_Time_Min]]&lt;=15,"Very Fast",Table1[[#This Row],[Resolution_Time_Min]]&lt;=30,"Fast",Table1[[#This Row],[Resolution_Time_Min]]&lt;=60,"Moderate",TRUE,"Slow")</f>
        <v>Moderate</v>
      </c>
      <c r="R52" t="str" cm="1">
        <f t="array" ref="R52">_xlfn.IFS(Table1[[#This Row],[CSAT_Score]]&gt;=4,"Satisfied",Table1[[#This Row],[CSAT_Score]]=3,"Neutral",TRUE,"Dissatisfied")</f>
        <v>Satisfied</v>
      </c>
      <c r="S52">
        <f>IF(Table1[[#This Row],[Reopen_Flag]]="Yes",1,0)</f>
        <v>0</v>
      </c>
      <c r="T52">
        <f>IF(Table1[[#This Row],[SLA_Status]]="Met",1,0)</f>
        <v>1</v>
      </c>
      <c r="U52">
        <f>IF(Table1[[#This Row],[SLA_Status]]="Met",Table1[[#This Row],[CSAT_Score]]*1,Table1[[#This Row],[CSAT_Score]]*0.5)</f>
        <v>4</v>
      </c>
      <c r="V52" t="str">
        <f>TEXT(Table1[[#This Row],[Ticket_Date]],"yyyy-mmm")</f>
        <v>2024-Jan</v>
      </c>
    </row>
    <row r="53" spans="1:22" x14ac:dyDescent="0.3">
      <c r="A53" t="s">
        <v>89</v>
      </c>
      <c r="B53" s="1">
        <v>45308</v>
      </c>
      <c r="C53" t="s">
        <v>34</v>
      </c>
      <c r="D53" t="s">
        <v>35</v>
      </c>
      <c r="E53" t="s">
        <v>36</v>
      </c>
      <c r="F53" t="s">
        <v>17</v>
      </c>
      <c r="G53" t="s">
        <v>26</v>
      </c>
      <c r="H53" t="s">
        <v>19</v>
      </c>
      <c r="I53" s="2">
        <v>0.47916666666666669</v>
      </c>
      <c r="J53" s="2">
        <v>0.51736111111111116</v>
      </c>
      <c r="K53">
        <v>30</v>
      </c>
      <c r="L53">
        <v>2</v>
      </c>
      <c r="M53" t="s">
        <v>37</v>
      </c>
      <c r="N53" s="3">
        <f>(Table1[[#This Row],[Close_Time]]-Table1[[#This Row],[Open_Time]])*1440</f>
        <v>55.000000000000043</v>
      </c>
      <c r="O53" t="str">
        <f>IF(Table1[[#This Row],[Resolution_Time_Min]]&lt;=Table1[[#This Row],[SLA_Target_Min]],"Met","Breached")</f>
        <v>Breached</v>
      </c>
      <c r="P53">
        <f>IF(Table1[[#This Row],[SLA_Status]]="Breached",1,0)</f>
        <v>1</v>
      </c>
      <c r="Q53" t="str" cm="1">
        <f t="array" ref="Q53">_xlfn.IFS(Table1[[#This Row],[Resolution_Time_Min]]&lt;=15,"Very Fast",Table1[[#This Row],[Resolution_Time_Min]]&lt;=30,"Fast",Table1[[#This Row],[Resolution_Time_Min]]&lt;=60,"Moderate",TRUE,"Slow")</f>
        <v>Moderate</v>
      </c>
      <c r="R53" t="str" cm="1">
        <f t="array" ref="R53">_xlfn.IFS(Table1[[#This Row],[CSAT_Score]]&gt;=4,"Satisfied",Table1[[#This Row],[CSAT_Score]]=3,"Neutral",TRUE,"Dissatisfied")</f>
        <v>Dissatisfied</v>
      </c>
      <c r="S53">
        <f>IF(Table1[[#This Row],[Reopen_Flag]]="Yes",1,0)</f>
        <v>1</v>
      </c>
      <c r="T53">
        <f>IF(Table1[[#This Row],[SLA_Status]]="Met",1,0)</f>
        <v>0</v>
      </c>
      <c r="U53">
        <f>IF(Table1[[#This Row],[SLA_Status]]="Met",Table1[[#This Row],[CSAT_Score]]*1,Table1[[#This Row],[CSAT_Score]]*0.5)</f>
        <v>1</v>
      </c>
      <c r="V53" t="str">
        <f>TEXT(Table1[[#This Row],[Ticket_Date]],"yyyy-mmm")</f>
        <v>2024-Jan</v>
      </c>
    </row>
    <row r="54" spans="1:22" x14ac:dyDescent="0.3">
      <c r="A54" t="s">
        <v>90</v>
      </c>
      <c r="B54" s="1">
        <v>45309</v>
      </c>
      <c r="C54" t="s">
        <v>14</v>
      </c>
      <c r="D54" t="s">
        <v>15</v>
      </c>
      <c r="E54" t="s">
        <v>16</v>
      </c>
      <c r="F54" t="s">
        <v>31</v>
      </c>
      <c r="G54" t="s">
        <v>18</v>
      </c>
      <c r="H54" t="s">
        <v>32</v>
      </c>
      <c r="I54" s="2">
        <v>0.375</v>
      </c>
      <c r="J54" s="2">
        <v>0.41319444444444442</v>
      </c>
      <c r="K54">
        <v>60</v>
      </c>
      <c r="L54">
        <v>5</v>
      </c>
      <c r="M54" t="s">
        <v>20</v>
      </c>
      <c r="N54" s="3">
        <f>(Table1[[#This Row],[Close_Time]]-Table1[[#This Row],[Open_Time]])*1440</f>
        <v>54.999999999999964</v>
      </c>
      <c r="O54" t="str">
        <f>IF(Table1[[#This Row],[Resolution_Time_Min]]&lt;=Table1[[#This Row],[SLA_Target_Min]],"Met","Breached")</f>
        <v>Met</v>
      </c>
      <c r="P54">
        <f>IF(Table1[[#This Row],[SLA_Status]]="Breached",1,0)</f>
        <v>0</v>
      </c>
      <c r="Q54" t="str" cm="1">
        <f t="array" ref="Q54">_xlfn.IFS(Table1[[#This Row],[Resolution_Time_Min]]&lt;=15,"Very Fast",Table1[[#This Row],[Resolution_Time_Min]]&lt;=30,"Fast",Table1[[#This Row],[Resolution_Time_Min]]&lt;=60,"Moderate",TRUE,"Slow")</f>
        <v>Moderate</v>
      </c>
      <c r="R54" t="str" cm="1">
        <f t="array" ref="R54">_xlfn.IFS(Table1[[#This Row],[CSAT_Score]]&gt;=4,"Satisfied",Table1[[#This Row],[CSAT_Score]]=3,"Neutral",TRUE,"Dissatisfied")</f>
        <v>Satisfied</v>
      </c>
      <c r="S54">
        <f>IF(Table1[[#This Row],[Reopen_Flag]]="Yes",1,0)</f>
        <v>0</v>
      </c>
      <c r="T54">
        <f>IF(Table1[[#This Row],[SLA_Status]]="Met",1,0)</f>
        <v>1</v>
      </c>
      <c r="U54">
        <f>IF(Table1[[#This Row],[SLA_Status]]="Met",Table1[[#This Row],[CSAT_Score]]*1,Table1[[#This Row],[CSAT_Score]]*0.5)</f>
        <v>5</v>
      </c>
      <c r="V54" t="str">
        <f>TEXT(Table1[[#This Row],[Ticket_Date]],"yyyy-mmm")</f>
        <v>2024-Jan</v>
      </c>
    </row>
    <row r="55" spans="1:22" x14ac:dyDescent="0.3">
      <c r="A55" t="s">
        <v>91</v>
      </c>
      <c r="B55" s="1">
        <v>45309</v>
      </c>
      <c r="C55" t="s">
        <v>22</v>
      </c>
      <c r="D55" t="s">
        <v>23</v>
      </c>
      <c r="E55" t="s">
        <v>24</v>
      </c>
      <c r="F55" t="s">
        <v>25</v>
      </c>
      <c r="G55" t="s">
        <v>18</v>
      </c>
      <c r="H55" t="s">
        <v>27</v>
      </c>
      <c r="I55" s="2">
        <v>0.43055555555555558</v>
      </c>
      <c r="J55" s="2">
        <v>0.45833333333333331</v>
      </c>
      <c r="K55">
        <v>40</v>
      </c>
      <c r="L55">
        <v>4</v>
      </c>
      <c r="M55" t="s">
        <v>20</v>
      </c>
      <c r="N55" s="3">
        <f>(Table1[[#This Row],[Close_Time]]-Table1[[#This Row],[Open_Time]])*1440</f>
        <v>39.999999999999936</v>
      </c>
      <c r="O55" t="str">
        <f>IF(Table1[[#This Row],[Resolution_Time_Min]]&lt;=Table1[[#This Row],[SLA_Target_Min]],"Met","Breached")</f>
        <v>Met</v>
      </c>
      <c r="P55">
        <f>IF(Table1[[#This Row],[SLA_Status]]="Breached",1,0)</f>
        <v>0</v>
      </c>
      <c r="Q55" t="str" cm="1">
        <f t="array" ref="Q55">_xlfn.IFS(Table1[[#This Row],[Resolution_Time_Min]]&lt;=15,"Very Fast",Table1[[#This Row],[Resolution_Time_Min]]&lt;=30,"Fast",Table1[[#This Row],[Resolution_Time_Min]]&lt;=60,"Moderate",TRUE,"Slow")</f>
        <v>Moderate</v>
      </c>
      <c r="R55" t="str" cm="1">
        <f t="array" ref="R55">_xlfn.IFS(Table1[[#This Row],[CSAT_Score]]&gt;=4,"Satisfied",Table1[[#This Row],[CSAT_Score]]=3,"Neutral",TRUE,"Dissatisfied")</f>
        <v>Satisfied</v>
      </c>
      <c r="S55">
        <f>IF(Table1[[#This Row],[Reopen_Flag]]="Yes",1,0)</f>
        <v>0</v>
      </c>
      <c r="T55">
        <f>IF(Table1[[#This Row],[SLA_Status]]="Met",1,0)</f>
        <v>1</v>
      </c>
      <c r="U55">
        <f>IF(Table1[[#This Row],[SLA_Status]]="Met",Table1[[#This Row],[CSAT_Score]]*1,Table1[[#This Row],[CSAT_Score]]*0.5)</f>
        <v>4</v>
      </c>
      <c r="V55" t="str">
        <f>TEXT(Table1[[#This Row],[Ticket_Date]],"yyyy-mmm")</f>
        <v>2024-Jan</v>
      </c>
    </row>
    <row r="56" spans="1:22" x14ac:dyDescent="0.3">
      <c r="A56" t="s">
        <v>92</v>
      </c>
      <c r="B56" s="1">
        <v>45309</v>
      </c>
      <c r="C56" t="s">
        <v>41</v>
      </c>
      <c r="D56" t="s">
        <v>42</v>
      </c>
      <c r="E56" t="s">
        <v>36</v>
      </c>
      <c r="F56" t="s">
        <v>17</v>
      </c>
      <c r="G56" t="s">
        <v>26</v>
      </c>
      <c r="H56" t="s">
        <v>19</v>
      </c>
      <c r="I56" s="2">
        <v>0.50694444444444442</v>
      </c>
      <c r="J56" s="2">
        <v>0.54513888888888884</v>
      </c>
      <c r="K56">
        <v>30</v>
      </c>
      <c r="L56">
        <v>2</v>
      </c>
      <c r="M56" t="s">
        <v>37</v>
      </c>
      <c r="N56" s="3">
        <f>(Table1[[#This Row],[Close_Time]]-Table1[[#This Row],[Open_Time]])*1440</f>
        <v>54.999999999999964</v>
      </c>
      <c r="O56" t="str">
        <f>IF(Table1[[#This Row],[Resolution_Time_Min]]&lt;=Table1[[#This Row],[SLA_Target_Min]],"Met","Breached")</f>
        <v>Breached</v>
      </c>
      <c r="P56">
        <f>IF(Table1[[#This Row],[SLA_Status]]="Breached",1,0)</f>
        <v>1</v>
      </c>
      <c r="Q56" t="str" cm="1">
        <f t="array" ref="Q56">_xlfn.IFS(Table1[[#This Row],[Resolution_Time_Min]]&lt;=15,"Very Fast",Table1[[#This Row],[Resolution_Time_Min]]&lt;=30,"Fast",Table1[[#This Row],[Resolution_Time_Min]]&lt;=60,"Moderate",TRUE,"Slow")</f>
        <v>Moderate</v>
      </c>
      <c r="R56" t="str" cm="1">
        <f t="array" ref="R56">_xlfn.IFS(Table1[[#This Row],[CSAT_Score]]&gt;=4,"Satisfied",Table1[[#This Row],[CSAT_Score]]=3,"Neutral",TRUE,"Dissatisfied")</f>
        <v>Dissatisfied</v>
      </c>
      <c r="S56">
        <f>IF(Table1[[#This Row],[Reopen_Flag]]="Yes",1,0)</f>
        <v>1</v>
      </c>
      <c r="T56">
        <f>IF(Table1[[#This Row],[SLA_Status]]="Met",1,0)</f>
        <v>0</v>
      </c>
      <c r="U56">
        <f>IF(Table1[[#This Row],[SLA_Status]]="Met",Table1[[#This Row],[CSAT_Score]]*1,Table1[[#This Row],[CSAT_Score]]*0.5)</f>
        <v>1</v>
      </c>
      <c r="V56" t="str">
        <f>TEXT(Table1[[#This Row],[Ticket_Date]],"yyyy-mmm")</f>
        <v>2024-Jan</v>
      </c>
    </row>
    <row r="57" spans="1:22" x14ac:dyDescent="0.3">
      <c r="A57" t="s">
        <v>93</v>
      </c>
      <c r="B57" s="1">
        <v>45310</v>
      </c>
      <c r="C57" t="s">
        <v>44</v>
      </c>
      <c r="D57" t="s">
        <v>45</v>
      </c>
      <c r="E57" t="s">
        <v>16</v>
      </c>
      <c r="F57" t="s">
        <v>25</v>
      </c>
      <c r="G57" t="s">
        <v>18</v>
      </c>
      <c r="H57" t="s">
        <v>27</v>
      </c>
      <c r="I57" s="2">
        <v>0.3923611111111111</v>
      </c>
      <c r="J57" s="2">
        <v>0.4201388888888889</v>
      </c>
      <c r="K57">
        <v>40</v>
      </c>
      <c r="L57">
        <v>4</v>
      </c>
      <c r="M57" t="s">
        <v>20</v>
      </c>
      <c r="N57" s="3">
        <f>(Table1[[#This Row],[Close_Time]]-Table1[[#This Row],[Open_Time]])*1440</f>
        <v>40.000000000000014</v>
      </c>
      <c r="O57" t="str">
        <f>IF(Table1[[#This Row],[Resolution_Time_Min]]&lt;=Table1[[#This Row],[SLA_Target_Min]],"Met","Breached")</f>
        <v>Met</v>
      </c>
      <c r="P57">
        <f>IF(Table1[[#This Row],[SLA_Status]]="Breached",1,0)</f>
        <v>0</v>
      </c>
      <c r="Q57" t="str" cm="1">
        <f t="array" ref="Q57">_xlfn.IFS(Table1[[#This Row],[Resolution_Time_Min]]&lt;=15,"Very Fast",Table1[[#This Row],[Resolution_Time_Min]]&lt;=30,"Fast",Table1[[#This Row],[Resolution_Time_Min]]&lt;=60,"Moderate",TRUE,"Slow")</f>
        <v>Moderate</v>
      </c>
      <c r="R57" t="str" cm="1">
        <f t="array" ref="R57">_xlfn.IFS(Table1[[#This Row],[CSAT_Score]]&gt;=4,"Satisfied",Table1[[#This Row],[CSAT_Score]]=3,"Neutral",TRUE,"Dissatisfied")</f>
        <v>Satisfied</v>
      </c>
      <c r="S57">
        <f>IF(Table1[[#This Row],[Reopen_Flag]]="Yes",1,0)</f>
        <v>0</v>
      </c>
      <c r="T57">
        <f>IF(Table1[[#This Row],[SLA_Status]]="Met",1,0)</f>
        <v>1</v>
      </c>
      <c r="U57">
        <f>IF(Table1[[#This Row],[SLA_Status]]="Met",Table1[[#This Row],[CSAT_Score]]*1,Table1[[#This Row],[CSAT_Score]]*0.5)</f>
        <v>4</v>
      </c>
      <c r="V57" t="str">
        <f>TEXT(Table1[[#This Row],[Ticket_Date]],"yyyy-mmm")</f>
        <v>2024-Jan</v>
      </c>
    </row>
    <row r="58" spans="1:22" x14ac:dyDescent="0.3">
      <c r="A58" t="s">
        <v>94</v>
      </c>
      <c r="B58" s="1">
        <v>45310</v>
      </c>
      <c r="C58" t="s">
        <v>29</v>
      </c>
      <c r="D58" t="s">
        <v>30</v>
      </c>
      <c r="E58" t="s">
        <v>16</v>
      </c>
      <c r="F58" t="s">
        <v>17</v>
      </c>
      <c r="G58" t="s">
        <v>18</v>
      </c>
      <c r="H58" t="s">
        <v>19</v>
      </c>
      <c r="I58" s="2">
        <v>0.44791666666666669</v>
      </c>
      <c r="J58" s="2">
        <v>0.4861111111111111</v>
      </c>
      <c r="K58">
        <v>30</v>
      </c>
      <c r="L58">
        <v>3</v>
      </c>
      <c r="M58" t="s">
        <v>20</v>
      </c>
      <c r="N58" s="3">
        <f>(Table1[[#This Row],[Close_Time]]-Table1[[#This Row],[Open_Time]])*1440</f>
        <v>54.999999999999964</v>
      </c>
      <c r="O58" t="str">
        <f>IF(Table1[[#This Row],[Resolution_Time_Min]]&lt;=Table1[[#This Row],[SLA_Target_Min]],"Met","Breached")</f>
        <v>Breached</v>
      </c>
      <c r="P58">
        <f>IF(Table1[[#This Row],[SLA_Status]]="Breached",1,0)</f>
        <v>1</v>
      </c>
      <c r="Q58" t="str" cm="1">
        <f t="array" ref="Q58">_xlfn.IFS(Table1[[#This Row],[Resolution_Time_Min]]&lt;=15,"Very Fast",Table1[[#This Row],[Resolution_Time_Min]]&lt;=30,"Fast",Table1[[#This Row],[Resolution_Time_Min]]&lt;=60,"Moderate",TRUE,"Slow")</f>
        <v>Moderate</v>
      </c>
      <c r="R58" t="str" cm="1">
        <f t="array" ref="R58">_xlfn.IFS(Table1[[#This Row],[CSAT_Score]]&gt;=4,"Satisfied",Table1[[#This Row],[CSAT_Score]]=3,"Neutral",TRUE,"Dissatisfied")</f>
        <v>Neutral</v>
      </c>
      <c r="S58">
        <f>IF(Table1[[#This Row],[Reopen_Flag]]="Yes",1,0)</f>
        <v>0</v>
      </c>
      <c r="T58">
        <f>IF(Table1[[#This Row],[SLA_Status]]="Met",1,0)</f>
        <v>0</v>
      </c>
      <c r="U58">
        <f>IF(Table1[[#This Row],[SLA_Status]]="Met",Table1[[#This Row],[CSAT_Score]]*1,Table1[[#This Row],[CSAT_Score]]*0.5)</f>
        <v>1.5</v>
      </c>
      <c r="V58" t="str">
        <f>TEXT(Table1[[#This Row],[Ticket_Date]],"yyyy-mmm")</f>
        <v>2024-Jan</v>
      </c>
    </row>
    <row r="59" spans="1:22" x14ac:dyDescent="0.3">
      <c r="A59" t="s">
        <v>95</v>
      </c>
      <c r="B59" s="1">
        <v>45310</v>
      </c>
      <c r="C59" t="s">
        <v>34</v>
      </c>
      <c r="D59" t="s">
        <v>35</v>
      </c>
      <c r="E59" t="s">
        <v>36</v>
      </c>
      <c r="F59" t="s">
        <v>25</v>
      </c>
      <c r="G59" t="s">
        <v>26</v>
      </c>
      <c r="H59" t="s">
        <v>27</v>
      </c>
      <c r="I59" s="2">
        <v>0.5</v>
      </c>
      <c r="J59" s="2">
        <v>0.52777777777777779</v>
      </c>
      <c r="K59">
        <v>40</v>
      </c>
      <c r="L59">
        <v>4</v>
      </c>
      <c r="M59" t="s">
        <v>20</v>
      </c>
      <c r="N59" s="3">
        <f>(Table1[[#This Row],[Close_Time]]-Table1[[#This Row],[Open_Time]])*1440</f>
        <v>40.000000000000014</v>
      </c>
      <c r="O59" t="str">
        <f>IF(Table1[[#This Row],[Resolution_Time_Min]]&lt;=Table1[[#This Row],[SLA_Target_Min]],"Met","Breached")</f>
        <v>Met</v>
      </c>
      <c r="P59">
        <f>IF(Table1[[#This Row],[SLA_Status]]="Breached",1,0)</f>
        <v>0</v>
      </c>
      <c r="Q59" t="str" cm="1">
        <f t="array" ref="Q59">_xlfn.IFS(Table1[[#This Row],[Resolution_Time_Min]]&lt;=15,"Very Fast",Table1[[#This Row],[Resolution_Time_Min]]&lt;=30,"Fast",Table1[[#This Row],[Resolution_Time_Min]]&lt;=60,"Moderate",TRUE,"Slow")</f>
        <v>Moderate</v>
      </c>
      <c r="R59" t="str" cm="1">
        <f t="array" ref="R59">_xlfn.IFS(Table1[[#This Row],[CSAT_Score]]&gt;=4,"Satisfied",Table1[[#This Row],[CSAT_Score]]=3,"Neutral",TRUE,"Dissatisfied")</f>
        <v>Satisfied</v>
      </c>
      <c r="S59">
        <f>IF(Table1[[#This Row],[Reopen_Flag]]="Yes",1,0)</f>
        <v>0</v>
      </c>
      <c r="T59">
        <f>IF(Table1[[#This Row],[SLA_Status]]="Met",1,0)</f>
        <v>1</v>
      </c>
      <c r="U59">
        <f>IF(Table1[[#This Row],[SLA_Status]]="Met",Table1[[#This Row],[CSAT_Score]]*1,Table1[[#This Row],[CSAT_Score]]*0.5)</f>
        <v>4</v>
      </c>
      <c r="V59" t="str">
        <f>TEXT(Table1[[#This Row],[Ticket_Date]],"yyyy-mmm")</f>
        <v>2024-Jan</v>
      </c>
    </row>
    <row r="60" spans="1:22" x14ac:dyDescent="0.3">
      <c r="A60" t="s">
        <v>96</v>
      </c>
      <c r="B60" s="1">
        <v>45311</v>
      </c>
      <c r="C60" t="s">
        <v>14</v>
      </c>
      <c r="D60" t="s">
        <v>15</v>
      </c>
      <c r="E60" t="s">
        <v>16</v>
      </c>
      <c r="F60" t="s">
        <v>17</v>
      </c>
      <c r="G60" t="s">
        <v>18</v>
      </c>
      <c r="H60" t="s">
        <v>19</v>
      </c>
      <c r="I60" s="2">
        <v>0.37847222222222221</v>
      </c>
      <c r="J60" s="2">
        <v>0.41666666666666669</v>
      </c>
      <c r="K60">
        <v>30</v>
      </c>
      <c r="L60">
        <v>2</v>
      </c>
      <c r="M60" t="s">
        <v>37</v>
      </c>
      <c r="N60" s="3">
        <f>(Table1[[#This Row],[Close_Time]]-Table1[[#This Row],[Open_Time]])*1440</f>
        <v>55.000000000000043</v>
      </c>
      <c r="O60" t="str">
        <f>IF(Table1[[#This Row],[Resolution_Time_Min]]&lt;=Table1[[#This Row],[SLA_Target_Min]],"Met","Breached")</f>
        <v>Breached</v>
      </c>
      <c r="P60">
        <f>IF(Table1[[#This Row],[SLA_Status]]="Breached",1,0)</f>
        <v>1</v>
      </c>
      <c r="Q60" t="str" cm="1">
        <f t="array" ref="Q60">_xlfn.IFS(Table1[[#This Row],[Resolution_Time_Min]]&lt;=15,"Very Fast",Table1[[#This Row],[Resolution_Time_Min]]&lt;=30,"Fast",Table1[[#This Row],[Resolution_Time_Min]]&lt;=60,"Moderate",TRUE,"Slow")</f>
        <v>Moderate</v>
      </c>
      <c r="R60" t="str" cm="1">
        <f t="array" ref="R60">_xlfn.IFS(Table1[[#This Row],[CSAT_Score]]&gt;=4,"Satisfied",Table1[[#This Row],[CSAT_Score]]=3,"Neutral",TRUE,"Dissatisfied")</f>
        <v>Dissatisfied</v>
      </c>
      <c r="S60">
        <f>IF(Table1[[#This Row],[Reopen_Flag]]="Yes",1,0)</f>
        <v>1</v>
      </c>
      <c r="T60">
        <f>IF(Table1[[#This Row],[SLA_Status]]="Met",1,0)</f>
        <v>0</v>
      </c>
      <c r="U60">
        <f>IF(Table1[[#This Row],[SLA_Status]]="Met",Table1[[#This Row],[CSAT_Score]]*1,Table1[[#This Row],[CSAT_Score]]*0.5)</f>
        <v>1</v>
      </c>
      <c r="V60" t="str">
        <f>TEXT(Table1[[#This Row],[Ticket_Date]],"yyyy-mmm")</f>
        <v>2024-Jan</v>
      </c>
    </row>
    <row r="61" spans="1:22" x14ac:dyDescent="0.3">
      <c r="A61" t="s">
        <v>97</v>
      </c>
      <c r="B61" s="1">
        <v>45311</v>
      </c>
      <c r="C61" t="s">
        <v>22</v>
      </c>
      <c r="D61" t="s">
        <v>23</v>
      </c>
      <c r="E61" t="s">
        <v>24</v>
      </c>
      <c r="F61" t="s">
        <v>31</v>
      </c>
      <c r="G61" t="s">
        <v>18</v>
      </c>
      <c r="H61" t="s">
        <v>32</v>
      </c>
      <c r="I61" s="2">
        <v>0.4375</v>
      </c>
      <c r="J61" s="2">
        <v>0.47222222222222221</v>
      </c>
      <c r="K61">
        <v>60</v>
      </c>
      <c r="L61">
        <v>5</v>
      </c>
      <c r="M61" t="s">
        <v>20</v>
      </c>
      <c r="N61" s="3">
        <f>(Table1[[#This Row],[Close_Time]]-Table1[[#This Row],[Open_Time]])*1440</f>
        <v>49.999999999999986</v>
      </c>
      <c r="O61" t="str">
        <f>IF(Table1[[#This Row],[Resolution_Time_Min]]&lt;=Table1[[#This Row],[SLA_Target_Min]],"Met","Breached")</f>
        <v>Met</v>
      </c>
      <c r="P61">
        <f>IF(Table1[[#This Row],[SLA_Status]]="Breached",1,0)</f>
        <v>0</v>
      </c>
      <c r="Q61" t="str" cm="1">
        <f t="array" ref="Q61">_xlfn.IFS(Table1[[#This Row],[Resolution_Time_Min]]&lt;=15,"Very Fast",Table1[[#This Row],[Resolution_Time_Min]]&lt;=30,"Fast",Table1[[#This Row],[Resolution_Time_Min]]&lt;=60,"Moderate",TRUE,"Slow")</f>
        <v>Moderate</v>
      </c>
      <c r="R61" t="str" cm="1">
        <f t="array" ref="R61">_xlfn.IFS(Table1[[#This Row],[CSAT_Score]]&gt;=4,"Satisfied",Table1[[#This Row],[CSAT_Score]]=3,"Neutral",TRUE,"Dissatisfied")</f>
        <v>Satisfied</v>
      </c>
      <c r="S61">
        <f>IF(Table1[[#This Row],[Reopen_Flag]]="Yes",1,0)</f>
        <v>0</v>
      </c>
      <c r="T61">
        <f>IF(Table1[[#This Row],[SLA_Status]]="Met",1,0)</f>
        <v>1</v>
      </c>
      <c r="U61">
        <f>IF(Table1[[#This Row],[SLA_Status]]="Met",Table1[[#This Row],[CSAT_Score]]*1,Table1[[#This Row],[CSAT_Score]]*0.5)</f>
        <v>5</v>
      </c>
      <c r="V61" t="str">
        <f>TEXT(Table1[[#This Row],[Ticket_Date]],"yyyy-mmm")</f>
        <v>2024-Jan</v>
      </c>
    </row>
    <row r="62" spans="1:22" x14ac:dyDescent="0.3">
      <c r="A62" t="s">
        <v>98</v>
      </c>
      <c r="B62" s="1">
        <v>45311</v>
      </c>
      <c r="C62" t="s">
        <v>41</v>
      </c>
      <c r="D62" t="s">
        <v>42</v>
      </c>
      <c r="E62" t="s">
        <v>36</v>
      </c>
      <c r="F62" t="s">
        <v>17</v>
      </c>
      <c r="G62" t="s">
        <v>26</v>
      </c>
      <c r="H62" t="s">
        <v>27</v>
      </c>
      <c r="I62" s="2">
        <v>0.51041666666666663</v>
      </c>
      <c r="J62" s="2">
        <v>0.53819444444444442</v>
      </c>
      <c r="K62">
        <v>40</v>
      </c>
      <c r="L62">
        <v>3</v>
      </c>
      <c r="M62" t="s">
        <v>20</v>
      </c>
      <c r="N62" s="3">
        <f>(Table1[[#This Row],[Close_Time]]-Table1[[#This Row],[Open_Time]])*1440</f>
        <v>40.000000000000014</v>
      </c>
      <c r="O62" t="str">
        <f>IF(Table1[[#This Row],[Resolution_Time_Min]]&lt;=Table1[[#This Row],[SLA_Target_Min]],"Met","Breached")</f>
        <v>Met</v>
      </c>
      <c r="P62">
        <f>IF(Table1[[#This Row],[SLA_Status]]="Breached",1,0)</f>
        <v>0</v>
      </c>
      <c r="Q62" t="str" cm="1">
        <f t="array" ref="Q62">_xlfn.IFS(Table1[[#This Row],[Resolution_Time_Min]]&lt;=15,"Very Fast",Table1[[#This Row],[Resolution_Time_Min]]&lt;=30,"Fast",Table1[[#This Row],[Resolution_Time_Min]]&lt;=60,"Moderate",TRUE,"Slow")</f>
        <v>Moderate</v>
      </c>
      <c r="R62" t="str" cm="1">
        <f t="array" ref="R62">_xlfn.IFS(Table1[[#This Row],[CSAT_Score]]&gt;=4,"Satisfied",Table1[[#This Row],[CSAT_Score]]=3,"Neutral",TRUE,"Dissatisfied")</f>
        <v>Neutral</v>
      </c>
      <c r="S62">
        <f>IF(Table1[[#This Row],[Reopen_Flag]]="Yes",1,0)</f>
        <v>0</v>
      </c>
      <c r="T62">
        <f>IF(Table1[[#This Row],[SLA_Status]]="Met",1,0)</f>
        <v>1</v>
      </c>
      <c r="U62">
        <f>IF(Table1[[#This Row],[SLA_Status]]="Met",Table1[[#This Row],[CSAT_Score]]*1,Table1[[#This Row],[CSAT_Score]]*0.5)</f>
        <v>3</v>
      </c>
      <c r="V62" t="str">
        <f>TEXT(Table1[[#This Row],[Ticket_Date]],"yyyy-mmm")</f>
        <v>2024-Jan</v>
      </c>
    </row>
    <row r="63" spans="1:22" x14ac:dyDescent="0.3">
      <c r="A63" t="s">
        <v>99</v>
      </c>
      <c r="B63" s="1">
        <v>45312</v>
      </c>
      <c r="C63" t="s">
        <v>44</v>
      </c>
      <c r="D63" t="s">
        <v>45</v>
      </c>
      <c r="E63" t="s">
        <v>16</v>
      </c>
      <c r="F63" t="s">
        <v>31</v>
      </c>
      <c r="G63" t="s">
        <v>18</v>
      </c>
      <c r="H63" t="s">
        <v>32</v>
      </c>
      <c r="I63" s="2">
        <v>0.38194444444444442</v>
      </c>
      <c r="J63" s="2">
        <v>0.4201388888888889</v>
      </c>
      <c r="K63">
        <v>60</v>
      </c>
      <c r="L63">
        <v>5</v>
      </c>
      <c r="M63" t="s">
        <v>20</v>
      </c>
      <c r="N63" s="3">
        <f>(Table1[[#This Row],[Close_Time]]-Table1[[#This Row],[Open_Time]])*1440</f>
        <v>55.000000000000043</v>
      </c>
      <c r="O63" t="str">
        <f>IF(Table1[[#This Row],[Resolution_Time_Min]]&lt;=Table1[[#This Row],[SLA_Target_Min]],"Met","Breached")</f>
        <v>Met</v>
      </c>
      <c r="P63">
        <f>IF(Table1[[#This Row],[SLA_Status]]="Breached",1,0)</f>
        <v>0</v>
      </c>
      <c r="Q63" t="str" cm="1">
        <f t="array" ref="Q63">_xlfn.IFS(Table1[[#This Row],[Resolution_Time_Min]]&lt;=15,"Very Fast",Table1[[#This Row],[Resolution_Time_Min]]&lt;=30,"Fast",Table1[[#This Row],[Resolution_Time_Min]]&lt;=60,"Moderate",TRUE,"Slow")</f>
        <v>Moderate</v>
      </c>
      <c r="R63" t="str" cm="1">
        <f t="array" ref="R63">_xlfn.IFS(Table1[[#This Row],[CSAT_Score]]&gt;=4,"Satisfied",Table1[[#This Row],[CSAT_Score]]=3,"Neutral",TRUE,"Dissatisfied")</f>
        <v>Satisfied</v>
      </c>
      <c r="S63">
        <f>IF(Table1[[#This Row],[Reopen_Flag]]="Yes",1,0)</f>
        <v>0</v>
      </c>
      <c r="T63">
        <f>IF(Table1[[#This Row],[SLA_Status]]="Met",1,0)</f>
        <v>1</v>
      </c>
      <c r="U63">
        <f>IF(Table1[[#This Row],[SLA_Status]]="Met",Table1[[#This Row],[CSAT_Score]]*1,Table1[[#This Row],[CSAT_Score]]*0.5)</f>
        <v>5</v>
      </c>
      <c r="V63" t="str">
        <f>TEXT(Table1[[#This Row],[Ticket_Date]],"yyyy-mmm")</f>
        <v>2024-Jan</v>
      </c>
    </row>
    <row r="64" spans="1:22" x14ac:dyDescent="0.3">
      <c r="A64" t="s">
        <v>100</v>
      </c>
      <c r="B64" s="1">
        <v>45312</v>
      </c>
      <c r="C64" t="s">
        <v>29</v>
      </c>
      <c r="D64" t="s">
        <v>30</v>
      </c>
      <c r="E64" t="s">
        <v>16</v>
      </c>
      <c r="F64" t="s">
        <v>17</v>
      </c>
      <c r="G64" t="s">
        <v>18</v>
      </c>
      <c r="H64" t="s">
        <v>27</v>
      </c>
      <c r="I64" s="2">
        <v>0.44097222222222221</v>
      </c>
      <c r="J64" s="2">
        <v>0.46875</v>
      </c>
      <c r="K64">
        <v>40</v>
      </c>
      <c r="L64">
        <v>4</v>
      </c>
      <c r="M64" t="s">
        <v>20</v>
      </c>
      <c r="N64" s="3">
        <f>(Table1[[#This Row],[Close_Time]]-Table1[[#This Row],[Open_Time]])*1440</f>
        <v>40.000000000000014</v>
      </c>
      <c r="O64" t="str">
        <f>IF(Table1[[#This Row],[Resolution_Time_Min]]&lt;=Table1[[#This Row],[SLA_Target_Min]],"Met","Breached")</f>
        <v>Met</v>
      </c>
      <c r="P64">
        <f>IF(Table1[[#This Row],[SLA_Status]]="Breached",1,0)</f>
        <v>0</v>
      </c>
      <c r="Q64" t="str" cm="1">
        <f t="array" ref="Q64">_xlfn.IFS(Table1[[#This Row],[Resolution_Time_Min]]&lt;=15,"Very Fast",Table1[[#This Row],[Resolution_Time_Min]]&lt;=30,"Fast",Table1[[#This Row],[Resolution_Time_Min]]&lt;=60,"Moderate",TRUE,"Slow")</f>
        <v>Moderate</v>
      </c>
      <c r="R64" t="str" cm="1">
        <f t="array" ref="R64">_xlfn.IFS(Table1[[#This Row],[CSAT_Score]]&gt;=4,"Satisfied",Table1[[#This Row],[CSAT_Score]]=3,"Neutral",TRUE,"Dissatisfied")</f>
        <v>Satisfied</v>
      </c>
      <c r="S64">
        <f>IF(Table1[[#This Row],[Reopen_Flag]]="Yes",1,0)</f>
        <v>0</v>
      </c>
      <c r="T64">
        <f>IF(Table1[[#This Row],[SLA_Status]]="Met",1,0)</f>
        <v>1</v>
      </c>
      <c r="U64">
        <f>IF(Table1[[#This Row],[SLA_Status]]="Met",Table1[[#This Row],[CSAT_Score]]*1,Table1[[#This Row],[CSAT_Score]]*0.5)</f>
        <v>4</v>
      </c>
      <c r="V64" t="str">
        <f>TEXT(Table1[[#This Row],[Ticket_Date]],"yyyy-mmm")</f>
        <v>2024-Jan</v>
      </c>
    </row>
    <row r="65" spans="1:22" x14ac:dyDescent="0.3">
      <c r="A65" t="s">
        <v>101</v>
      </c>
      <c r="B65" s="1">
        <v>45312</v>
      </c>
      <c r="C65" t="s">
        <v>34</v>
      </c>
      <c r="D65" t="s">
        <v>35</v>
      </c>
      <c r="E65" t="s">
        <v>36</v>
      </c>
      <c r="F65" t="s">
        <v>17</v>
      </c>
      <c r="G65" t="s">
        <v>26</v>
      </c>
      <c r="H65" t="s">
        <v>19</v>
      </c>
      <c r="I65" s="2">
        <v>0.50694444444444442</v>
      </c>
      <c r="J65" s="2">
        <v>0.54513888888888884</v>
      </c>
      <c r="K65">
        <v>30</v>
      </c>
      <c r="L65">
        <v>2</v>
      </c>
      <c r="M65" t="s">
        <v>37</v>
      </c>
      <c r="N65" s="3">
        <f>(Table1[[#This Row],[Close_Time]]-Table1[[#This Row],[Open_Time]])*1440</f>
        <v>54.999999999999964</v>
      </c>
      <c r="O65" t="str">
        <f>IF(Table1[[#This Row],[Resolution_Time_Min]]&lt;=Table1[[#This Row],[SLA_Target_Min]],"Met","Breached")</f>
        <v>Breached</v>
      </c>
      <c r="P65">
        <f>IF(Table1[[#This Row],[SLA_Status]]="Breached",1,0)</f>
        <v>1</v>
      </c>
      <c r="Q65" t="str" cm="1">
        <f t="array" ref="Q65">_xlfn.IFS(Table1[[#This Row],[Resolution_Time_Min]]&lt;=15,"Very Fast",Table1[[#This Row],[Resolution_Time_Min]]&lt;=30,"Fast",Table1[[#This Row],[Resolution_Time_Min]]&lt;=60,"Moderate",TRUE,"Slow")</f>
        <v>Moderate</v>
      </c>
      <c r="R65" t="str" cm="1">
        <f t="array" ref="R65">_xlfn.IFS(Table1[[#This Row],[CSAT_Score]]&gt;=4,"Satisfied",Table1[[#This Row],[CSAT_Score]]=3,"Neutral",TRUE,"Dissatisfied")</f>
        <v>Dissatisfied</v>
      </c>
      <c r="S65">
        <f>IF(Table1[[#This Row],[Reopen_Flag]]="Yes",1,0)</f>
        <v>1</v>
      </c>
      <c r="T65">
        <f>IF(Table1[[#This Row],[SLA_Status]]="Met",1,0)</f>
        <v>0</v>
      </c>
      <c r="U65">
        <f>IF(Table1[[#This Row],[SLA_Status]]="Met",Table1[[#This Row],[CSAT_Score]]*1,Table1[[#This Row],[CSAT_Score]]*0.5)</f>
        <v>1</v>
      </c>
      <c r="V65" t="str">
        <f>TEXT(Table1[[#This Row],[Ticket_Date]],"yyyy-mmm")</f>
        <v>2024-Jan</v>
      </c>
    </row>
    <row r="66" spans="1:22" x14ac:dyDescent="0.3">
      <c r="A66" t="s">
        <v>102</v>
      </c>
      <c r="B66" s="1">
        <v>45313</v>
      </c>
      <c r="C66" t="s">
        <v>14</v>
      </c>
      <c r="D66" t="s">
        <v>15</v>
      </c>
      <c r="E66" t="s">
        <v>16</v>
      </c>
      <c r="F66" t="s">
        <v>25</v>
      </c>
      <c r="G66" t="s">
        <v>18</v>
      </c>
      <c r="H66" t="s">
        <v>27</v>
      </c>
      <c r="I66" s="2">
        <v>0.3888888888888889</v>
      </c>
      <c r="J66" s="2">
        <v>0.41666666666666669</v>
      </c>
      <c r="K66">
        <v>40</v>
      </c>
      <c r="L66">
        <v>4</v>
      </c>
      <c r="M66" t="s">
        <v>20</v>
      </c>
      <c r="N66" s="3">
        <f>(Table1[[#This Row],[Close_Time]]-Table1[[#This Row],[Open_Time]])*1440</f>
        <v>40.000000000000014</v>
      </c>
      <c r="O66" t="str">
        <f>IF(Table1[[#This Row],[Resolution_Time_Min]]&lt;=Table1[[#This Row],[SLA_Target_Min]],"Met","Breached")</f>
        <v>Met</v>
      </c>
      <c r="P66">
        <f>IF(Table1[[#This Row],[SLA_Status]]="Breached",1,0)</f>
        <v>0</v>
      </c>
      <c r="Q66" t="str" cm="1">
        <f t="array" ref="Q66">_xlfn.IFS(Table1[[#This Row],[Resolution_Time_Min]]&lt;=15,"Very Fast",Table1[[#This Row],[Resolution_Time_Min]]&lt;=30,"Fast",Table1[[#This Row],[Resolution_Time_Min]]&lt;=60,"Moderate",TRUE,"Slow")</f>
        <v>Moderate</v>
      </c>
      <c r="R66" t="str" cm="1">
        <f t="array" ref="R66">_xlfn.IFS(Table1[[#This Row],[CSAT_Score]]&gt;=4,"Satisfied",Table1[[#This Row],[CSAT_Score]]=3,"Neutral",TRUE,"Dissatisfied")</f>
        <v>Satisfied</v>
      </c>
      <c r="S66">
        <f>IF(Table1[[#This Row],[Reopen_Flag]]="Yes",1,0)</f>
        <v>0</v>
      </c>
      <c r="T66">
        <f>IF(Table1[[#This Row],[SLA_Status]]="Met",1,0)</f>
        <v>1</v>
      </c>
      <c r="U66">
        <f>IF(Table1[[#This Row],[SLA_Status]]="Met",Table1[[#This Row],[CSAT_Score]]*1,Table1[[#This Row],[CSAT_Score]]*0.5)</f>
        <v>4</v>
      </c>
      <c r="V66" t="str">
        <f>TEXT(Table1[[#This Row],[Ticket_Date]],"yyyy-mmm")</f>
        <v>2024-Jan</v>
      </c>
    </row>
    <row r="67" spans="1:22" x14ac:dyDescent="0.3">
      <c r="A67" t="s">
        <v>103</v>
      </c>
      <c r="B67" s="1">
        <v>45313</v>
      </c>
      <c r="C67" t="s">
        <v>22</v>
      </c>
      <c r="D67" t="s">
        <v>23</v>
      </c>
      <c r="E67" t="s">
        <v>24</v>
      </c>
      <c r="F67" t="s">
        <v>25</v>
      </c>
      <c r="G67" t="s">
        <v>26</v>
      </c>
      <c r="H67" t="s">
        <v>32</v>
      </c>
      <c r="I67" s="2">
        <v>0.44444444444444442</v>
      </c>
      <c r="J67" s="2">
        <v>0.47916666666666669</v>
      </c>
      <c r="K67">
        <v>60</v>
      </c>
      <c r="L67">
        <v>5</v>
      </c>
      <c r="M67" t="s">
        <v>20</v>
      </c>
      <c r="N67" s="3">
        <f>(Table1[[#This Row],[Close_Time]]-Table1[[#This Row],[Open_Time]])*1440</f>
        <v>50.000000000000064</v>
      </c>
      <c r="O67" t="str">
        <f>IF(Table1[[#This Row],[Resolution_Time_Min]]&lt;=Table1[[#This Row],[SLA_Target_Min]],"Met","Breached")</f>
        <v>Met</v>
      </c>
      <c r="P67">
        <f>IF(Table1[[#This Row],[SLA_Status]]="Breached",1,0)</f>
        <v>0</v>
      </c>
      <c r="Q67" t="str" cm="1">
        <f t="array" ref="Q67">_xlfn.IFS(Table1[[#This Row],[Resolution_Time_Min]]&lt;=15,"Very Fast",Table1[[#This Row],[Resolution_Time_Min]]&lt;=30,"Fast",Table1[[#This Row],[Resolution_Time_Min]]&lt;=60,"Moderate",TRUE,"Slow")</f>
        <v>Moderate</v>
      </c>
      <c r="R67" t="str" cm="1">
        <f t="array" ref="R67">_xlfn.IFS(Table1[[#This Row],[CSAT_Score]]&gt;=4,"Satisfied",Table1[[#This Row],[CSAT_Score]]=3,"Neutral",TRUE,"Dissatisfied")</f>
        <v>Satisfied</v>
      </c>
      <c r="S67">
        <f>IF(Table1[[#This Row],[Reopen_Flag]]="Yes",1,0)</f>
        <v>0</v>
      </c>
      <c r="T67">
        <f>IF(Table1[[#This Row],[SLA_Status]]="Met",1,0)</f>
        <v>1</v>
      </c>
      <c r="U67">
        <f>IF(Table1[[#This Row],[SLA_Status]]="Met",Table1[[#This Row],[CSAT_Score]]*1,Table1[[#This Row],[CSAT_Score]]*0.5)</f>
        <v>5</v>
      </c>
      <c r="V67" t="str">
        <f>TEXT(Table1[[#This Row],[Ticket_Date]],"yyyy-mmm")</f>
        <v>2024-Jan</v>
      </c>
    </row>
    <row r="68" spans="1:22" x14ac:dyDescent="0.3">
      <c r="A68" t="s">
        <v>104</v>
      </c>
      <c r="B68" s="1">
        <v>45313</v>
      </c>
      <c r="C68" t="s">
        <v>41</v>
      </c>
      <c r="D68" t="s">
        <v>42</v>
      </c>
      <c r="E68" t="s">
        <v>36</v>
      </c>
      <c r="F68" t="s">
        <v>17</v>
      </c>
      <c r="G68" t="s">
        <v>26</v>
      </c>
      <c r="H68" t="s">
        <v>19</v>
      </c>
      <c r="I68" s="2">
        <v>0.51736111111111116</v>
      </c>
      <c r="J68" s="2">
        <v>0.55555555555555558</v>
      </c>
      <c r="K68">
        <v>30</v>
      </c>
      <c r="L68">
        <v>2</v>
      </c>
      <c r="M68" t="s">
        <v>37</v>
      </c>
      <c r="N68" s="3">
        <f>(Table1[[#This Row],[Close_Time]]-Table1[[#This Row],[Open_Time]])*1440</f>
        <v>54.999999999999964</v>
      </c>
      <c r="O68" t="str">
        <f>IF(Table1[[#This Row],[Resolution_Time_Min]]&lt;=Table1[[#This Row],[SLA_Target_Min]],"Met","Breached")</f>
        <v>Breached</v>
      </c>
      <c r="P68">
        <f>IF(Table1[[#This Row],[SLA_Status]]="Breached",1,0)</f>
        <v>1</v>
      </c>
      <c r="Q68" t="str" cm="1">
        <f t="array" ref="Q68">_xlfn.IFS(Table1[[#This Row],[Resolution_Time_Min]]&lt;=15,"Very Fast",Table1[[#This Row],[Resolution_Time_Min]]&lt;=30,"Fast",Table1[[#This Row],[Resolution_Time_Min]]&lt;=60,"Moderate",TRUE,"Slow")</f>
        <v>Moderate</v>
      </c>
      <c r="R68" t="str" cm="1">
        <f t="array" ref="R68">_xlfn.IFS(Table1[[#This Row],[CSAT_Score]]&gt;=4,"Satisfied",Table1[[#This Row],[CSAT_Score]]=3,"Neutral",TRUE,"Dissatisfied")</f>
        <v>Dissatisfied</v>
      </c>
      <c r="S68">
        <f>IF(Table1[[#This Row],[Reopen_Flag]]="Yes",1,0)</f>
        <v>1</v>
      </c>
      <c r="T68">
        <f>IF(Table1[[#This Row],[SLA_Status]]="Met",1,0)</f>
        <v>0</v>
      </c>
      <c r="U68">
        <f>IF(Table1[[#This Row],[SLA_Status]]="Met",Table1[[#This Row],[CSAT_Score]]*1,Table1[[#This Row],[CSAT_Score]]*0.5)</f>
        <v>1</v>
      </c>
      <c r="V68" t="str">
        <f>TEXT(Table1[[#This Row],[Ticket_Date]],"yyyy-mmm")</f>
        <v>2024-Jan</v>
      </c>
    </row>
    <row r="69" spans="1:22" x14ac:dyDescent="0.3">
      <c r="A69" t="s">
        <v>105</v>
      </c>
      <c r="B69" s="1">
        <v>45314</v>
      </c>
      <c r="C69" t="s">
        <v>44</v>
      </c>
      <c r="D69" t="s">
        <v>45</v>
      </c>
      <c r="E69" t="s">
        <v>16</v>
      </c>
      <c r="F69" t="s">
        <v>17</v>
      </c>
      <c r="G69" t="s">
        <v>18</v>
      </c>
      <c r="H69" t="s">
        <v>27</v>
      </c>
      <c r="I69" s="2">
        <v>0.38541666666666669</v>
      </c>
      <c r="J69" s="2">
        <v>0.41319444444444442</v>
      </c>
      <c r="K69">
        <v>40</v>
      </c>
      <c r="L69">
        <v>4</v>
      </c>
      <c r="M69" t="s">
        <v>20</v>
      </c>
      <c r="N69" s="3">
        <f>(Table1[[#This Row],[Close_Time]]-Table1[[#This Row],[Open_Time]])*1440</f>
        <v>39.999999999999936</v>
      </c>
      <c r="O69" t="str">
        <f>IF(Table1[[#This Row],[Resolution_Time_Min]]&lt;=Table1[[#This Row],[SLA_Target_Min]],"Met","Breached")</f>
        <v>Met</v>
      </c>
      <c r="P69">
        <f>IF(Table1[[#This Row],[SLA_Status]]="Breached",1,0)</f>
        <v>0</v>
      </c>
      <c r="Q69" t="str" cm="1">
        <f t="array" ref="Q69">_xlfn.IFS(Table1[[#This Row],[Resolution_Time_Min]]&lt;=15,"Very Fast",Table1[[#This Row],[Resolution_Time_Min]]&lt;=30,"Fast",Table1[[#This Row],[Resolution_Time_Min]]&lt;=60,"Moderate",TRUE,"Slow")</f>
        <v>Moderate</v>
      </c>
      <c r="R69" t="str" cm="1">
        <f t="array" ref="R69">_xlfn.IFS(Table1[[#This Row],[CSAT_Score]]&gt;=4,"Satisfied",Table1[[#This Row],[CSAT_Score]]=3,"Neutral",TRUE,"Dissatisfied")</f>
        <v>Satisfied</v>
      </c>
      <c r="S69">
        <f>IF(Table1[[#This Row],[Reopen_Flag]]="Yes",1,0)</f>
        <v>0</v>
      </c>
      <c r="T69">
        <f>IF(Table1[[#This Row],[SLA_Status]]="Met",1,0)</f>
        <v>1</v>
      </c>
      <c r="U69">
        <f>IF(Table1[[#This Row],[SLA_Status]]="Met",Table1[[#This Row],[CSAT_Score]]*1,Table1[[#This Row],[CSAT_Score]]*0.5)</f>
        <v>4</v>
      </c>
      <c r="V69" t="str">
        <f>TEXT(Table1[[#This Row],[Ticket_Date]],"yyyy-mmm")</f>
        <v>2024-Jan</v>
      </c>
    </row>
    <row r="70" spans="1:22" x14ac:dyDescent="0.3">
      <c r="A70" t="s">
        <v>106</v>
      </c>
      <c r="B70" s="1">
        <v>45314</v>
      </c>
      <c r="C70" t="s">
        <v>29</v>
      </c>
      <c r="D70" t="s">
        <v>30</v>
      </c>
      <c r="E70" t="s">
        <v>16</v>
      </c>
      <c r="F70" t="s">
        <v>31</v>
      </c>
      <c r="G70" t="s">
        <v>18</v>
      </c>
      <c r="H70" t="s">
        <v>32</v>
      </c>
      <c r="I70" s="2">
        <v>0.43402777777777779</v>
      </c>
      <c r="J70" s="2">
        <v>0.47222222222222221</v>
      </c>
      <c r="K70">
        <v>60</v>
      </c>
      <c r="L70">
        <v>5</v>
      </c>
      <c r="M70" t="s">
        <v>20</v>
      </c>
      <c r="N70" s="3">
        <f>(Table1[[#This Row],[Close_Time]]-Table1[[#This Row],[Open_Time]])*1440</f>
        <v>54.999999999999964</v>
      </c>
      <c r="O70" t="str">
        <f>IF(Table1[[#This Row],[Resolution_Time_Min]]&lt;=Table1[[#This Row],[SLA_Target_Min]],"Met","Breached")</f>
        <v>Met</v>
      </c>
      <c r="P70">
        <f>IF(Table1[[#This Row],[SLA_Status]]="Breached",1,0)</f>
        <v>0</v>
      </c>
      <c r="Q70" t="str" cm="1">
        <f t="array" ref="Q70">_xlfn.IFS(Table1[[#This Row],[Resolution_Time_Min]]&lt;=15,"Very Fast",Table1[[#This Row],[Resolution_Time_Min]]&lt;=30,"Fast",Table1[[#This Row],[Resolution_Time_Min]]&lt;=60,"Moderate",TRUE,"Slow")</f>
        <v>Moderate</v>
      </c>
      <c r="R70" t="str" cm="1">
        <f t="array" ref="R70">_xlfn.IFS(Table1[[#This Row],[CSAT_Score]]&gt;=4,"Satisfied",Table1[[#This Row],[CSAT_Score]]=3,"Neutral",TRUE,"Dissatisfied")</f>
        <v>Satisfied</v>
      </c>
      <c r="S70">
        <f>IF(Table1[[#This Row],[Reopen_Flag]]="Yes",1,0)</f>
        <v>0</v>
      </c>
      <c r="T70">
        <f>IF(Table1[[#This Row],[SLA_Status]]="Met",1,0)</f>
        <v>1</v>
      </c>
      <c r="U70">
        <f>IF(Table1[[#This Row],[SLA_Status]]="Met",Table1[[#This Row],[CSAT_Score]]*1,Table1[[#This Row],[CSAT_Score]]*0.5)</f>
        <v>5</v>
      </c>
      <c r="V70" t="str">
        <f>TEXT(Table1[[#This Row],[Ticket_Date]],"yyyy-mmm")</f>
        <v>2024-Jan</v>
      </c>
    </row>
    <row r="71" spans="1:22" x14ac:dyDescent="0.3">
      <c r="A71" t="s">
        <v>107</v>
      </c>
      <c r="B71" s="1">
        <v>45314</v>
      </c>
      <c r="C71" t="s">
        <v>34</v>
      </c>
      <c r="D71" t="s">
        <v>35</v>
      </c>
      <c r="E71" t="s">
        <v>36</v>
      </c>
      <c r="F71" t="s">
        <v>25</v>
      </c>
      <c r="G71" t="s">
        <v>26</v>
      </c>
      <c r="H71" t="s">
        <v>27</v>
      </c>
      <c r="I71" s="2">
        <v>0.50347222222222221</v>
      </c>
      <c r="J71" s="2">
        <v>0.53125</v>
      </c>
      <c r="K71">
        <v>40</v>
      </c>
      <c r="L71">
        <v>4</v>
      </c>
      <c r="M71" t="s">
        <v>20</v>
      </c>
      <c r="N71" s="3">
        <f>(Table1[[#This Row],[Close_Time]]-Table1[[#This Row],[Open_Time]])*1440</f>
        <v>40.000000000000014</v>
      </c>
      <c r="O71" t="str">
        <f>IF(Table1[[#This Row],[Resolution_Time_Min]]&lt;=Table1[[#This Row],[SLA_Target_Min]],"Met","Breached")</f>
        <v>Met</v>
      </c>
      <c r="P71">
        <f>IF(Table1[[#This Row],[SLA_Status]]="Breached",1,0)</f>
        <v>0</v>
      </c>
      <c r="Q71" t="str" cm="1">
        <f t="array" ref="Q71">_xlfn.IFS(Table1[[#This Row],[Resolution_Time_Min]]&lt;=15,"Very Fast",Table1[[#This Row],[Resolution_Time_Min]]&lt;=30,"Fast",Table1[[#This Row],[Resolution_Time_Min]]&lt;=60,"Moderate",TRUE,"Slow")</f>
        <v>Moderate</v>
      </c>
      <c r="R71" t="str" cm="1">
        <f t="array" ref="R71">_xlfn.IFS(Table1[[#This Row],[CSAT_Score]]&gt;=4,"Satisfied",Table1[[#This Row],[CSAT_Score]]=3,"Neutral",TRUE,"Dissatisfied")</f>
        <v>Satisfied</v>
      </c>
      <c r="S71">
        <f>IF(Table1[[#This Row],[Reopen_Flag]]="Yes",1,0)</f>
        <v>0</v>
      </c>
      <c r="T71">
        <f>IF(Table1[[#This Row],[SLA_Status]]="Met",1,0)</f>
        <v>1</v>
      </c>
      <c r="U71">
        <f>IF(Table1[[#This Row],[SLA_Status]]="Met",Table1[[#This Row],[CSAT_Score]]*1,Table1[[#This Row],[CSAT_Score]]*0.5)</f>
        <v>4</v>
      </c>
      <c r="V71" t="str">
        <f>TEXT(Table1[[#This Row],[Ticket_Date]],"yyyy-mmm")</f>
        <v>2024-Jan</v>
      </c>
    </row>
    <row r="72" spans="1:22" x14ac:dyDescent="0.3">
      <c r="A72" t="s">
        <v>108</v>
      </c>
      <c r="B72" s="1">
        <v>45315</v>
      </c>
      <c r="C72" t="s">
        <v>14</v>
      </c>
      <c r="D72" t="s">
        <v>15</v>
      </c>
      <c r="E72" t="s">
        <v>16</v>
      </c>
      <c r="F72" t="s">
        <v>17</v>
      </c>
      <c r="G72" t="s">
        <v>18</v>
      </c>
      <c r="H72" t="s">
        <v>19</v>
      </c>
      <c r="I72" s="2">
        <v>0.375</v>
      </c>
      <c r="J72" s="2">
        <v>0.41319444444444442</v>
      </c>
      <c r="K72">
        <v>30</v>
      </c>
      <c r="L72">
        <v>2</v>
      </c>
      <c r="M72" t="s">
        <v>37</v>
      </c>
      <c r="N72" s="3">
        <f>(Table1[[#This Row],[Close_Time]]-Table1[[#This Row],[Open_Time]])*1440</f>
        <v>54.999999999999964</v>
      </c>
      <c r="O72" t="str">
        <f>IF(Table1[[#This Row],[Resolution_Time_Min]]&lt;=Table1[[#This Row],[SLA_Target_Min]],"Met","Breached")</f>
        <v>Breached</v>
      </c>
      <c r="P72">
        <f>IF(Table1[[#This Row],[SLA_Status]]="Breached",1,0)</f>
        <v>1</v>
      </c>
      <c r="Q72" t="str" cm="1">
        <f t="array" ref="Q72">_xlfn.IFS(Table1[[#This Row],[Resolution_Time_Min]]&lt;=15,"Very Fast",Table1[[#This Row],[Resolution_Time_Min]]&lt;=30,"Fast",Table1[[#This Row],[Resolution_Time_Min]]&lt;=60,"Moderate",TRUE,"Slow")</f>
        <v>Moderate</v>
      </c>
      <c r="R72" t="str" cm="1">
        <f t="array" ref="R72">_xlfn.IFS(Table1[[#This Row],[CSAT_Score]]&gt;=4,"Satisfied",Table1[[#This Row],[CSAT_Score]]=3,"Neutral",TRUE,"Dissatisfied")</f>
        <v>Dissatisfied</v>
      </c>
      <c r="S72">
        <f>IF(Table1[[#This Row],[Reopen_Flag]]="Yes",1,0)</f>
        <v>1</v>
      </c>
      <c r="T72">
        <f>IF(Table1[[#This Row],[SLA_Status]]="Met",1,0)</f>
        <v>0</v>
      </c>
      <c r="U72">
        <f>IF(Table1[[#This Row],[SLA_Status]]="Met",Table1[[#This Row],[CSAT_Score]]*1,Table1[[#This Row],[CSAT_Score]]*0.5)</f>
        <v>1</v>
      </c>
      <c r="V72" t="str">
        <f>TEXT(Table1[[#This Row],[Ticket_Date]],"yyyy-mmm")</f>
        <v>2024-Jan</v>
      </c>
    </row>
    <row r="73" spans="1:22" x14ac:dyDescent="0.3">
      <c r="A73" t="s">
        <v>109</v>
      </c>
      <c r="B73" s="1">
        <v>45315</v>
      </c>
      <c r="C73" t="s">
        <v>22</v>
      </c>
      <c r="D73" t="s">
        <v>23</v>
      </c>
      <c r="E73" t="s">
        <v>24</v>
      </c>
      <c r="F73" t="s">
        <v>31</v>
      </c>
      <c r="G73" t="s">
        <v>18</v>
      </c>
      <c r="H73" t="s">
        <v>32</v>
      </c>
      <c r="I73" s="2">
        <v>0.4375</v>
      </c>
      <c r="J73" s="2">
        <v>0.47569444444444442</v>
      </c>
      <c r="K73">
        <v>60</v>
      </c>
      <c r="L73">
        <v>5</v>
      </c>
      <c r="M73" t="s">
        <v>20</v>
      </c>
      <c r="N73" s="3">
        <f>(Table1[[#This Row],[Close_Time]]-Table1[[#This Row],[Open_Time]])*1440</f>
        <v>54.999999999999964</v>
      </c>
      <c r="O73" t="str">
        <f>IF(Table1[[#This Row],[Resolution_Time_Min]]&lt;=Table1[[#This Row],[SLA_Target_Min]],"Met","Breached")</f>
        <v>Met</v>
      </c>
      <c r="P73">
        <f>IF(Table1[[#This Row],[SLA_Status]]="Breached",1,0)</f>
        <v>0</v>
      </c>
      <c r="Q73" t="str" cm="1">
        <f t="array" ref="Q73">_xlfn.IFS(Table1[[#This Row],[Resolution_Time_Min]]&lt;=15,"Very Fast",Table1[[#This Row],[Resolution_Time_Min]]&lt;=30,"Fast",Table1[[#This Row],[Resolution_Time_Min]]&lt;=60,"Moderate",TRUE,"Slow")</f>
        <v>Moderate</v>
      </c>
      <c r="R73" t="str" cm="1">
        <f t="array" ref="R73">_xlfn.IFS(Table1[[#This Row],[CSAT_Score]]&gt;=4,"Satisfied",Table1[[#This Row],[CSAT_Score]]=3,"Neutral",TRUE,"Dissatisfied")</f>
        <v>Satisfied</v>
      </c>
      <c r="S73">
        <f>IF(Table1[[#This Row],[Reopen_Flag]]="Yes",1,0)</f>
        <v>0</v>
      </c>
      <c r="T73">
        <f>IF(Table1[[#This Row],[SLA_Status]]="Met",1,0)</f>
        <v>1</v>
      </c>
      <c r="U73">
        <f>IF(Table1[[#This Row],[SLA_Status]]="Met",Table1[[#This Row],[CSAT_Score]]*1,Table1[[#This Row],[CSAT_Score]]*0.5)</f>
        <v>5</v>
      </c>
      <c r="V73" t="str">
        <f>TEXT(Table1[[#This Row],[Ticket_Date]],"yyyy-mmm")</f>
        <v>2024-Jan</v>
      </c>
    </row>
    <row r="74" spans="1:22" x14ac:dyDescent="0.3">
      <c r="A74" t="s">
        <v>110</v>
      </c>
      <c r="B74" s="1">
        <v>45315</v>
      </c>
      <c r="C74" t="s">
        <v>41</v>
      </c>
      <c r="D74" t="s">
        <v>42</v>
      </c>
      <c r="E74" t="s">
        <v>36</v>
      </c>
      <c r="F74" t="s">
        <v>17</v>
      </c>
      <c r="G74" t="s">
        <v>26</v>
      </c>
      <c r="H74" t="s">
        <v>27</v>
      </c>
      <c r="I74" s="2">
        <v>0.50694444444444442</v>
      </c>
      <c r="J74" s="2">
        <v>0.53472222222222221</v>
      </c>
      <c r="K74">
        <v>40</v>
      </c>
      <c r="L74">
        <v>3</v>
      </c>
      <c r="M74" t="s">
        <v>20</v>
      </c>
      <c r="N74" s="3">
        <f>(Table1[[#This Row],[Close_Time]]-Table1[[#This Row],[Open_Time]])*1440</f>
        <v>40.000000000000014</v>
      </c>
      <c r="O74" t="str">
        <f>IF(Table1[[#This Row],[Resolution_Time_Min]]&lt;=Table1[[#This Row],[SLA_Target_Min]],"Met","Breached")</f>
        <v>Met</v>
      </c>
      <c r="P74">
        <f>IF(Table1[[#This Row],[SLA_Status]]="Breached",1,0)</f>
        <v>0</v>
      </c>
      <c r="Q74" t="str" cm="1">
        <f t="array" ref="Q74">_xlfn.IFS(Table1[[#This Row],[Resolution_Time_Min]]&lt;=15,"Very Fast",Table1[[#This Row],[Resolution_Time_Min]]&lt;=30,"Fast",Table1[[#This Row],[Resolution_Time_Min]]&lt;=60,"Moderate",TRUE,"Slow")</f>
        <v>Moderate</v>
      </c>
      <c r="R74" t="str" cm="1">
        <f t="array" ref="R74">_xlfn.IFS(Table1[[#This Row],[CSAT_Score]]&gt;=4,"Satisfied",Table1[[#This Row],[CSAT_Score]]=3,"Neutral",TRUE,"Dissatisfied")</f>
        <v>Neutral</v>
      </c>
      <c r="S74">
        <f>IF(Table1[[#This Row],[Reopen_Flag]]="Yes",1,0)</f>
        <v>0</v>
      </c>
      <c r="T74">
        <f>IF(Table1[[#This Row],[SLA_Status]]="Met",1,0)</f>
        <v>1</v>
      </c>
      <c r="U74">
        <f>IF(Table1[[#This Row],[SLA_Status]]="Met",Table1[[#This Row],[CSAT_Score]]*1,Table1[[#This Row],[CSAT_Score]]*0.5)</f>
        <v>3</v>
      </c>
      <c r="V74" t="str">
        <f>TEXT(Table1[[#This Row],[Ticket_Date]],"yyyy-mmm")</f>
        <v>2024-Jan</v>
      </c>
    </row>
    <row r="75" spans="1:22" x14ac:dyDescent="0.3">
      <c r="A75" t="s">
        <v>111</v>
      </c>
      <c r="B75" s="1">
        <v>45316</v>
      </c>
      <c r="C75" t="s">
        <v>44</v>
      </c>
      <c r="D75" t="s">
        <v>45</v>
      </c>
      <c r="E75" t="s">
        <v>16</v>
      </c>
      <c r="F75" t="s">
        <v>25</v>
      </c>
      <c r="G75" t="s">
        <v>18</v>
      </c>
      <c r="H75" t="s">
        <v>27</v>
      </c>
      <c r="I75" s="2">
        <v>0.3923611111111111</v>
      </c>
      <c r="J75" s="2">
        <v>0.4201388888888889</v>
      </c>
      <c r="K75">
        <v>40</v>
      </c>
      <c r="L75">
        <v>4</v>
      </c>
      <c r="M75" t="s">
        <v>20</v>
      </c>
      <c r="N75" s="3">
        <f>(Table1[[#This Row],[Close_Time]]-Table1[[#This Row],[Open_Time]])*1440</f>
        <v>40.000000000000014</v>
      </c>
      <c r="O75" t="str">
        <f>IF(Table1[[#This Row],[Resolution_Time_Min]]&lt;=Table1[[#This Row],[SLA_Target_Min]],"Met","Breached")</f>
        <v>Met</v>
      </c>
      <c r="P75">
        <f>IF(Table1[[#This Row],[SLA_Status]]="Breached",1,0)</f>
        <v>0</v>
      </c>
      <c r="Q75" t="str" cm="1">
        <f t="array" ref="Q75">_xlfn.IFS(Table1[[#This Row],[Resolution_Time_Min]]&lt;=15,"Very Fast",Table1[[#This Row],[Resolution_Time_Min]]&lt;=30,"Fast",Table1[[#This Row],[Resolution_Time_Min]]&lt;=60,"Moderate",TRUE,"Slow")</f>
        <v>Moderate</v>
      </c>
      <c r="R75" t="str" cm="1">
        <f t="array" ref="R75">_xlfn.IFS(Table1[[#This Row],[CSAT_Score]]&gt;=4,"Satisfied",Table1[[#This Row],[CSAT_Score]]=3,"Neutral",TRUE,"Dissatisfied")</f>
        <v>Satisfied</v>
      </c>
      <c r="S75">
        <f>IF(Table1[[#This Row],[Reopen_Flag]]="Yes",1,0)</f>
        <v>0</v>
      </c>
      <c r="T75">
        <f>IF(Table1[[#This Row],[SLA_Status]]="Met",1,0)</f>
        <v>1</v>
      </c>
      <c r="U75">
        <f>IF(Table1[[#This Row],[SLA_Status]]="Met",Table1[[#This Row],[CSAT_Score]]*1,Table1[[#This Row],[CSAT_Score]]*0.5)</f>
        <v>4</v>
      </c>
      <c r="V75" t="str">
        <f>TEXT(Table1[[#This Row],[Ticket_Date]],"yyyy-mmm")</f>
        <v>2024-Jan</v>
      </c>
    </row>
    <row r="76" spans="1:22" x14ac:dyDescent="0.3">
      <c r="A76" t="s">
        <v>112</v>
      </c>
      <c r="B76" s="1">
        <v>45316</v>
      </c>
      <c r="C76" t="s">
        <v>29</v>
      </c>
      <c r="D76" t="s">
        <v>30</v>
      </c>
      <c r="E76" t="s">
        <v>16</v>
      </c>
      <c r="F76" t="s">
        <v>17</v>
      </c>
      <c r="G76" t="s">
        <v>18</v>
      </c>
      <c r="H76" t="s">
        <v>19</v>
      </c>
      <c r="I76" s="2">
        <v>0.44444444444444442</v>
      </c>
      <c r="J76" s="2">
        <v>0.4826388888888889</v>
      </c>
      <c r="K76">
        <v>30</v>
      </c>
      <c r="L76">
        <v>3</v>
      </c>
      <c r="M76" t="s">
        <v>20</v>
      </c>
      <c r="N76" s="3">
        <f>(Table1[[#This Row],[Close_Time]]-Table1[[#This Row],[Open_Time]])*1440</f>
        <v>55.000000000000043</v>
      </c>
      <c r="O76" t="str">
        <f>IF(Table1[[#This Row],[Resolution_Time_Min]]&lt;=Table1[[#This Row],[SLA_Target_Min]],"Met","Breached")</f>
        <v>Breached</v>
      </c>
      <c r="P76">
        <f>IF(Table1[[#This Row],[SLA_Status]]="Breached",1,0)</f>
        <v>1</v>
      </c>
      <c r="Q76" t="str" cm="1">
        <f t="array" ref="Q76">_xlfn.IFS(Table1[[#This Row],[Resolution_Time_Min]]&lt;=15,"Very Fast",Table1[[#This Row],[Resolution_Time_Min]]&lt;=30,"Fast",Table1[[#This Row],[Resolution_Time_Min]]&lt;=60,"Moderate",TRUE,"Slow")</f>
        <v>Moderate</v>
      </c>
      <c r="R76" t="str" cm="1">
        <f t="array" ref="R76">_xlfn.IFS(Table1[[#This Row],[CSAT_Score]]&gt;=4,"Satisfied",Table1[[#This Row],[CSAT_Score]]=3,"Neutral",TRUE,"Dissatisfied")</f>
        <v>Neutral</v>
      </c>
      <c r="S76">
        <f>IF(Table1[[#This Row],[Reopen_Flag]]="Yes",1,0)</f>
        <v>0</v>
      </c>
      <c r="T76">
        <f>IF(Table1[[#This Row],[SLA_Status]]="Met",1,0)</f>
        <v>0</v>
      </c>
      <c r="U76">
        <f>IF(Table1[[#This Row],[SLA_Status]]="Met",Table1[[#This Row],[CSAT_Score]]*1,Table1[[#This Row],[CSAT_Score]]*0.5)</f>
        <v>1.5</v>
      </c>
      <c r="V76" t="str">
        <f>TEXT(Table1[[#This Row],[Ticket_Date]],"yyyy-mmm")</f>
        <v>2024-Jan</v>
      </c>
    </row>
    <row r="77" spans="1:22" x14ac:dyDescent="0.3">
      <c r="A77" t="s">
        <v>113</v>
      </c>
      <c r="B77" s="1">
        <v>45316</v>
      </c>
      <c r="C77" t="s">
        <v>34</v>
      </c>
      <c r="D77" t="s">
        <v>35</v>
      </c>
      <c r="E77" t="s">
        <v>36</v>
      </c>
      <c r="F77" t="s">
        <v>17</v>
      </c>
      <c r="G77" t="s">
        <v>26</v>
      </c>
      <c r="H77" t="s">
        <v>19</v>
      </c>
      <c r="I77" s="2">
        <v>0.50694444444444442</v>
      </c>
      <c r="J77" s="2">
        <v>0.54513888888888884</v>
      </c>
      <c r="K77">
        <v>30</v>
      </c>
      <c r="L77">
        <v>2</v>
      </c>
      <c r="M77" t="s">
        <v>37</v>
      </c>
      <c r="N77" s="3">
        <f>(Table1[[#This Row],[Close_Time]]-Table1[[#This Row],[Open_Time]])*1440</f>
        <v>54.999999999999964</v>
      </c>
      <c r="O77" t="str">
        <f>IF(Table1[[#This Row],[Resolution_Time_Min]]&lt;=Table1[[#This Row],[SLA_Target_Min]],"Met","Breached")</f>
        <v>Breached</v>
      </c>
      <c r="P77">
        <f>IF(Table1[[#This Row],[SLA_Status]]="Breached",1,0)</f>
        <v>1</v>
      </c>
      <c r="Q77" t="str" cm="1">
        <f t="array" ref="Q77">_xlfn.IFS(Table1[[#This Row],[Resolution_Time_Min]]&lt;=15,"Very Fast",Table1[[#This Row],[Resolution_Time_Min]]&lt;=30,"Fast",Table1[[#This Row],[Resolution_Time_Min]]&lt;=60,"Moderate",TRUE,"Slow")</f>
        <v>Moderate</v>
      </c>
      <c r="R77" t="str" cm="1">
        <f t="array" ref="R77">_xlfn.IFS(Table1[[#This Row],[CSAT_Score]]&gt;=4,"Satisfied",Table1[[#This Row],[CSAT_Score]]=3,"Neutral",TRUE,"Dissatisfied")</f>
        <v>Dissatisfied</v>
      </c>
      <c r="S77">
        <f>IF(Table1[[#This Row],[Reopen_Flag]]="Yes",1,0)</f>
        <v>1</v>
      </c>
      <c r="T77">
        <f>IF(Table1[[#This Row],[SLA_Status]]="Met",1,0)</f>
        <v>0</v>
      </c>
      <c r="U77">
        <f>IF(Table1[[#This Row],[SLA_Status]]="Met",Table1[[#This Row],[CSAT_Score]]*1,Table1[[#This Row],[CSAT_Score]]*0.5)</f>
        <v>1</v>
      </c>
      <c r="V77" t="str">
        <f>TEXT(Table1[[#This Row],[Ticket_Date]],"yyyy-mmm")</f>
        <v>2024-Jan</v>
      </c>
    </row>
    <row r="78" spans="1:22" x14ac:dyDescent="0.3">
      <c r="A78" t="s">
        <v>114</v>
      </c>
      <c r="B78" s="1">
        <v>45317</v>
      </c>
      <c r="C78" t="s">
        <v>14</v>
      </c>
      <c r="D78" t="s">
        <v>15</v>
      </c>
      <c r="E78" t="s">
        <v>16</v>
      </c>
      <c r="F78" t="s">
        <v>31</v>
      </c>
      <c r="G78" t="s">
        <v>18</v>
      </c>
      <c r="H78" t="s">
        <v>32</v>
      </c>
      <c r="I78" s="2">
        <v>0.37847222222222221</v>
      </c>
      <c r="J78" s="2">
        <v>0.41666666666666669</v>
      </c>
      <c r="K78">
        <v>60</v>
      </c>
      <c r="L78">
        <v>5</v>
      </c>
      <c r="M78" t="s">
        <v>20</v>
      </c>
      <c r="N78" s="3">
        <f>(Table1[[#This Row],[Close_Time]]-Table1[[#This Row],[Open_Time]])*1440</f>
        <v>55.000000000000043</v>
      </c>
      <c r="O78" t="str">
        <f>IF(Table1[[#This Row],[Resolution_Time_Min]]&lt;=Table1[[#This Row],[SLA_Target_Min]],"Met","Breached")</f>
        <v>Met</v>
      </c>
      <c r="P78">
        <f>IF(Table1[[#This Row],[SLA_Status]]="Breached",1,0)</f>
        <v>0</v>
      </c>
      <c r="Q78" t="str" cm="1">
        <f t="array" ref="Q78">_xlfn.IFS(Table1[[#This Row],[Resolution_Time_Min]]&lt;=15,"Very Fast",Table1[[#This Row],[Resolution_Time_Min]]&lt;=30,"Fast",Table1[[#This Row],[Resolution_Time_Min]]&lt;=60,"Moderate",TRUE,"Slow")</f>
        <v>Moderate</v>
      </c>
      <c r="R78" t="str" cm="1">
        <f t="array" ref="R78">_xlfn.IFS(Table1[[#This Row],[CSAT_Score]]&gt;=4,"Satisfied",Table1[[#This Row],[CSAT_Score]]=3,"Neutral",TRUE,"Dissatisfied")</f>
        <v>Satisfied</v>
      </c>
      <c r="S78">
        <f>IF(Table1[[#This Row],[Reopen_Flag]]="Yes",1,0)</f>
        <v>0</v>
      </c>
      <c r="T78">
        <f>IF(Table1[[#This Row],[SLA_Status]]="Met",1,0)</f>
        <v>1</v>
      </c>
      <c r="U78">
        <f>IF(Table1[[#This Row],[SLA_Status]]="Met",Table1[[#This Row],[CSAT_Score]]*1,Table1[[#This Row],[CSAT_Score]]*0.5)</f>
        <v>5</v>
      </c>
      <c r="V78" t="str">
        <f>TEXT(Table1[[#This Row],[Ticket_Date]],"yyyy-mmm")</f>
        <v>2024-Jan</v>
      </c>
    </row>
    <row r="79" spans="1:22" x14ac:dyDescent="0.3">
      <c r="A79" t="s">
        <v>115</v>
      </c>
      <c r="B79" s="1">
        <v>45317</v>
      </c>
      <c r="C79" t="s">
        <v>22</v>
      </c>
      <c r="D79" t="s">
        <v>23</v>
      </c>
      <c r="E79" t="s">
        <v>24</v>
      </c>
      <c r="F79" t="s">
        <v>25</v>
      </c>
      <c r="G79" t="s">
        <v>18</v>
      </c>
      <c r="H79" t="s">
        <v>27</v>
      </c>
      <c r="I79" s="2">
        <v>0.43055555555555558</v>
      </c>
      <c r="J79" s="2">
        <v>0.45833333333333331</v>
      </c>
      <c r="K79">
        <v>40</v>
      </c>
      <c r="L79">
        <v>4</v>
      </c>
      <c r="M79" t="s">
        <v>20</v>
      </c>
      <c r="N79" s="3">
        <f>(Table1[[#This Row],[Close_Time]]-Table1[[#This Row],[Open_Time]])*1440</f>
        <v>39.999999999999936</v>
      </c>
      <c r="O79" t="str">
        <f>IF(Table1[[#This Row],[Resolution_Time_Min]]&lt;=Table1[[#This Row],[SLA_Target_Min]],"Met","Breached")</f>
        <v>Met</v>
      </c>
      <c r="P79">
        <f>IF(Table1[[#This Row],[SLA_Status]]="Breached",1,0)</f>
        <v>0</v>
      </c>
      <c r="Q79" t="str" cm="1">
        <f t="array" ref="Q79">_xlfn.IFS(Table1[[#This Row],[Resolution_Time_Min]]&lt;=15,"Very Fast",Table1[[#This Row],[Resolution_Time_Min]]&lt;=30,"Fast",Table1[[#This Row],[Resolution_Time_Min]]&lt;=60,"Moderate",TRUE,"Slow")</f>
        <v>Moderate</v>
      </c>
      <c r="R79" t="str" cm="1">
        <f t="array" ref="R79">_xlfn.IFS(Table1[[#This Row],[CSAT_Score]]&gt;=4,"Satisfied",Table1[[#This Row],[CSAT_Score]]=3,"Neutral",TRUE,"Dissatisfied")</f>
        <v>Satisfied</v>
      </c>
      <c r="S79">
        <f>IF(Table1[[#This Row],[Reopen_Flag]]="Yes",1,0)</f>
        <v>0</v>
      </c>
      <c r="T79">
        <f>IF(Table1[[#This Row],[SLA_Status]]="Met",1,0)</f>
        <v>1</v>
      </c>
      <c r="U79">
        <f>IF(Table1[[#This Row],[SLA_Status]]="Met",Table1[[#This Row],[CSAT_Score]]*1,Table1[[#This Row],[CSAT_Score]]*0.5)</f>
        <v>4</v>
      </c>
      <c r="V79" t="str">
        <f>TEXT(Table1[[#This Row],[Ticket_Date]],"yyyy-mmm")</f>
        <v>2024-Jan</v>
      </c>
    </row>
    <row r="80" spans="1:22" x14ac:dyDescent="0.3">
      <c r="A80" t="s">
        <v>116</v>
      </c>
      <c r="B80" s="1">
        <v>45317</v>
      </c>
      <c r="C80" t="s">
        <v>41</v>
      </c>
      <c r="D80" t="s">
        <v>42</v>
      </c>
      <c r="E80" t="s">
        <v>36</v>
      </c>
      <c r="F80" t="s">
        <v>17</v>
      </c>
      <c r="G80" t="s">
        <v>26</v>
      </c>
      <c r="H80" t="s">
        <v>27</v>
      </c>
      <c r="I80" s="2">
        <v>0.4826388888888889</v>
      </c>
      <c r="J80" s="2">
        <v>0.51388888888888884</v>
      </c>
      <c r="K80">
        <v>40</v>
      </c>
      <c r="L80">
        <v>3</v>
      </c>
      <c r="M80" t="s">
        <v>20</v>
      </c>
      <c r="N80" s="3">
        <f>(Table1[[#This Row],[Close_Time]]-Table1[[#This Row],[Open_Time]])*1440</f>
        <v>44.999999999999922</v>
      </c>
      <c r="O80" t="str">
        <f>IF(Table1[[#This Row],[Resolution_Time_Min]]&lt;=Table1[[#This Row],[SLA_Target_Min]],"Met","Breached")</f>
        <v>Breached</v>
      </c>
      <c r="P80">
        <f>IF(Table1[[#This Row],[SLA_Status]]="Breached",1,0)</f>
        <v>1</v>
      </c>
      <c r="Q80" t="str" cm="1">
        <f t="array" ref="Q80">_xlfn.IFS(Table1[[#This Row],[Resolution_Time_Min]]&lt;=15,"Very Fast",Table1[[#This Row],[Resolution_Time_Min]]&lt;=30,"Fast",Table1[[#This Row],[Resolution_Time_Min]]&lt;=60,"Moderate",TRUE,"Slow")</f>
        <v>Moderate</v>
      </c>
      <c r="R80" t="str" cm="1">
        <f t="array" ref="R80">_xlfn.IFS(Table1[[#This Row],[CSAT_Score]]&gt;=4,"Satisfied",Table1[[#This Row],[CSAT_Score]]=3,"Neutral",TRUE,"Dissatisfied")</f>
        <v>Neutral</v>
      </c>
      <c r="S80">
        <f>IF(Table1[[#This Row],[Reopen_Flag]]="Yes",1,0)</f>
        <v>0</v>
      </c>
      <c r="T80">
        <f>IF(Table1[[#This Row],[SLA_Status]]="Met",1,0)</f>
        <v>0</v>
      </c>
      <c r="U80">
        <f>IF(Table1[[#This Row],[SLA_Status]]="Met",Table1[[#This Row],[CSAT_Score]]*1,Table1[[#This Row],[CSAT_Score]]*0.5)</f>
        <v>1.5</v>
      </c>
      <c r="V80" t="str">
        <f>TEXT(Table1[[#This Row],[Ticket_Date]],"yyyy-mmm")</f>
        <v>2024-Jan</v>
      </c>
    </row>
    <row r="81" spans="1:22" x14ac:dyDescent="0.3">
      <c r="A81" t="s">
        <v>117</v>
      </c>
      <c r="B81" s="1">
        <v>45318</v>
      </c>
      <c r="C81" t="s">
        <v>44</v>
      </c>
      <c r="D81" t="s">
        <v>45</v>
      </c>
      <c r="E81" t="s">
        <v>16</v>
      </c>
      <c r="F81" t="s">
        <v>25</v>
      </c>
      <c r="G81" t="s">
        <v>18</v>
      </c>
      <c r="H81" t="s">
        <v>27</v>
      </c>
      <c r="I81" s="2">
        <v>0.38541666666666669</v>
      </c>
      <c r="J81" s="2">
        <v>0.41319444444444442</v>
      </c>
      <c r="K81">
        <v>40</v>
      </c>
      <c r="L81">
        <v>4</v>
      </c>
      <c r="M81" t="s">
        <v>20</v>
      </c>
      <c r="N81" s="3">
        <f>(Table1[[#This Row],[Close_Time]]-Table1[[#This Row],[Open_Time]])*1440</f>
        <v>39.999999999999936</v>
      </c>
      <c r="O81" t="str">
        <f>IF(Table1[[#This Row],[Resolution_Time_Min]]&lt;=Table1[[#This Row],[SLA_Target_Min]],"Met","Breached")</f>
        <v>Met</v>
      </c>
      <c r="P81">
        <f>IF(Table1[[#This Row],[SLA_Status]]="Breached",1,0)</f>
        <v>0</v>
      </c>
      <c r="Q81" t="str" cm="1">
        <f t="array" ref="Q81">_xlfn.IFS(Table1[[#This Row],[Resolution_Time_Min]]&lt;=15,"Very Fast",Table1[[#This Row],[Resolution_Time_Min]]&lt;=30,"Fast",Table1[[#This Row],[Resolution_Time_Min]]&lt;=60,"Moderate",TRUE,"Slow")</f>
        <v>Moderate</v>
      </c>
      <c r="R81" t="str" cm="1">
        <f t="array" ref="R81">_xlfn.IFS(Table1[[#This Row],[CSAT_Score]]&gt;=4,"Satisfied",Table1[[#This Row],[CSAT_Score]]=3,"Neutral",TRUE,"Dissatisfied")</f>
        <v>Satisfied</v>
      </c>
      <c r="S81">
        <f>IF(Table1[[#This Row],[Reopen_Flag]]="Yes",1,0)</f>
        <v>0</v>
      </c>
      <c r="T81">
        <f>IF(Table1[[#This Row],[SLA_Status]]="Met",1,0)</f>
        <v>1</v>
      </c>
      <c r="U81">
        <f>IF(Table1[[#This Row],[SLA_Status]]="Met",Table1[[#This Row],[CSAT_Score]]*1,Table1[[#This Row],[CSAT_Score]]*0.5)</f>
        <v>4</v>
      </c>
      <c r="V81" t="str">
        <f>TEXT(Table1[[#This Row],[Ticket_Date]],"yyyy-mmm")</f>
        <v>2024-Jan</v>
      </c>
    </row>
    <row r="82" spans="1:22" x14ac:dyDescent="0.3">
      <c r="A82" t="s">
        <v>118</v>
      </c>
      <c r="B82" s="1">
        <v>45318</v>
      </c>
      <c r="C82" t="s">
        <v>29</v>
      </c>
      <c r="D82" t="s">
        <v>30</v>
      </c>
      <c r="E82" t="s">
        <v>16</v>
      </c>
      <c r="F82" t="s">
        <v>17</v>
      </c>
      <c r="G82" t="s">
        <v>18</v>
      </c>
      <c r="H82" t="s">
        <v>19</v>
      </c>
      <c r="I82" s="2">
        <v>0.44791666666666669</v>
      </c>
      <c r="J82" s="2">
        <v>0.4861111111111111</v>
      </c>
      <c r="K82">
        <v>30</v>
      </c>
      <c r="L82">
        <v>3</v>
      </c>
      <c r="M82" t="s">
        <v>20</v>
      </c>
      <c r="N82" s="3">
        <f>(Table1[[#This Row],[Close_Time]]-Table1[[#This Row],[Open_Time]])*1440</f>
        <v>54.999999999999964</v>
      </c>
      <c r="O82" t="str">
        <f>IF(Table1[[#This Row],[Resolution_Time_Min]]&lt;=Table1[[#This Row],[SLA_Target_Min]],"Met","Breached")</f>
        <v>Breached</v>
      </c>
      <c r="P82">
        <f>IF(Table1[[#This Row],[SLA_Status]]="Breached",1,0)</f>
        <v>1</v>
      </c>
      <c r="Q82" t="str" cm="1">
        <f t="array" ref="Q82">_xlfn.IFS(Table1[[#This Row],[Resolution_Time_Min]]&lt;=15,"Very Fast",Table1[[#This Row],[Resolution_Time_Min]]&lt;=30,"Fast",Table1[[#This Row],[Resolution_Time_Min]]&lt;=60,"Moderate",TRUE,"Slow")</f>
        <v>Moderate</v>
      </c>
      <c r="R82" t="str" cm="1">
        <f t="array" ref="R82">_xlfn.IFS(Table1[[#This Row],[CSAT_Score]]&gt;=4,"Satisfied",Table1[[#This Row],[CSAT_Score]]=3,"Neutral",TRUE,"Dissatisfied")</f>
        <v>Neutral</v>
      </c>
      <c r="S82">
        <f>IF(Table1[[#This Row],[Reopen_Flag]]="Yes",1,0)</f>
        <v>0</v>
      </c>
      <c r="T82">
        <f>IF(Table1[[#This Row],[SLA_Status]]="Met",1,0)</f>
        <v>0</v>
      </c>
      <c r="U82">
        <f>IF(Table1[[#This Row],[SLA_Status]]="Met",Table1[[#This Row],[CSAT_Score]]*1,Table1[[#This Row],[CSAT_Score]]*0.5)</f>
        <v>1.5</v>
      </c>
      <c r="V82" t="str">
        <f>TEXT(Table1[[#This Row],[Ticket_Date]],"yyyy-mmm")</f>
        <v>2024-Jan</v>
      </c>
    </row>
    <row r="83" spans="1:22" x14ac:dyDescent="0.3">
      <c r="A83" t="s">
        <v>119</v>
      </c>
      <c r="B83" s="1">
        <v>45318</v>
      </c>
      <c r="C83" t="s">
        <v>34</v>
      </c>
      <c r="D83" t="s">
        <v>35</v>
      </c>
      <c r="E83" t="s">
        <v>36</v>
      </c>
      <c r="F83" t="s">
        <v>25</v>
      </c>
      <c r="G83" t="s">
        <v>26</v>
      </c>
      <c r="H83" t="s">
        <v>27</v>
      </c>
      <c r="I83" s="2">
        <v>0.5</v>
      </c>
      <c r="J83" s="2">
        <v>0.52777777777777779</v>
      </c>
      <c r="K83">
        <v>40</v>
      </c>
      <c r="L83">
        <v>4</v>
      </c>
      <c r="M83" t="s">
        <v>20</v>
      </c>
      <c r="N83" s="3">
        <f>(Table1[[#This Row],[Close_Time]]-Table1[[#This Row],[Open_Time]])*1440</f>
        <v>40.000000000000014</v>
      </c>
      <c r="O83" t="str">
        <f>IF(Table1[[#This Row],[Resolution_Time_Min]]&lt;=Table1[[#This Row],[SLA_Target_Min]],"Met","Breached")</f>
        <v>Met</v>
      </c>
      <c r="P83">
        <f>IF(Table1[[#This Row],[SLA_Status]]="Breached",1,0)</f>
        <v>0</v>
      </c>
      <c r="Q83" t="str" cm="1">
        <f t="array" ref="Q83">_xlfn.IFS(Table1[[#This Row],[Resolution_Time_Min]]&lt;=15,"Very Fast",Table1[[#This Row],[Resolution_Time_Min]]&lt;=30,"Fast",Table1[[#This Row],[Resolution_Time_Min]]&lt;=60,"Moderate",TRUE,"Slow")</f>
        <v>Moderate</v>
      </c>
      <c r="R83" t="str" cm="1">
        <f t="array" ref="R83">_xlfn.IFS(Table1[[#This Row],[CSAT_Score]]&gt;=4,"Satisfied",Table1[[#This Row],[CSAT_Score]]=3,"Neutral",TRUE,"Dissatisfied")</f>
        <v>Satisfied</v>
      </c>
      <c r="S83">
        <f>IF(Table1[[#This Row],[Reopen_Flag]]="Yes",1,0)</f>
        <v>0</v>
      </c>
      <c r="T83">
        <f>IF(Table1[[#This Row],[SLA_Status]]="Met",1,0)</f>
        <v>1</v>
      </c>
      <c r="U83">
        <f>IF(Table1[[#This Row],[SLA_Status]]="Met",Table1[[#This Row],[CSAT_Score]]*1,Table1[[#This Row],[CSAT_Score]]*0.5)</f>
        <v>4</v>
      </c>
      <c r="V83" t="str">
        <f>TEXT(Table1[[#This Row],[Ticket_Date]],"yyyy-mmm")</f>
        <v>2024-Jan</v>
      </c>
    </row>
    <row r="84" spans="1:22" x14ac:dyDescent="0.3">
      <c r="A84" t="s">
        <v>120</v>
      </c>
      <c r="B84" s="1">
        <v>45319</v>
      </c>
      <c r="C84" t="s">
        <v>14</v>
      </c>
      <c r="D84" t="s">
        <v>15</v>
      </c>
      <c r="E84" t="s">
        <v>16</v>
      </c>
      <c r="F84" t="s">
        <v>17</v>
      </c>
      <c r="G84" t="s">
        <v>18</v>
      </c>
      <c r="H84" t="s">
        <v>19</v>
      </c>
      <c r="I84" s="2">
        <v>0.375</v>
      </c>
      <c r="J84" s="2">
        <v>0.41319444444444442</v>
      </c>
      <c r="K84">
        <v>30</v>
      </c>
      <c r="L84">
        <v>2</v>
      </c>
      <c r="M84" t="s">
        <v>37</v>
      </c>
      <c r="N84" s="3">
        <f>(Table1[[#This Row],[Close_Time]]-Table1[[#This Row],[Open_Time]])*1440</f>
        <v>54.999999999999964</v>
      </c>
      <c r="O84" t="str">
        <f>IF(Table1[[#This Row],[Resolution_Time_Min]]&lt;=Table1[[#This Row],[SLA_Target_Min]],"Met","Breached")</f>
        <v>Breached</v>
      </c>
      <c r="P84">
        <f>IF(Table1[[#This Row],[SLA_Status]]="Breached",1,0)</f>
        <v>1</v>
      </c>
      <c r="Q84" t="str" cm="1">
        <f t="array" ref="Q84">_xlfn.IFS(Table1[[#This Row],[Resolution_Time_Min]]&lt;=15,"Very Fast",Table1[[#This Row],[Resolution_Time_Min]]&lt;=30,"Fast",Table1[[#This Row],[Resolution_Time_Min]]&lt;=60,"Moderate",TRUE,"Slow")</f>
        <v>Moderate</v>
      </c>
      <c r="R84" t="str" cm="1">
        <f t="array" ref="R84">_xlfn.IFS(Table1[[#This Row],[CSAT_Score]]&gt;=4,"Satisfied",Table1[[#This Row],[CSAT_Score]]=3,"Neutral",TRUE,"Dissatisfied")</f>
        <v>Dissatisfied</v>
      </c>
      <c r="S84">
        <f>IF(Table1[[#This Row],[Reopen_Flag]]="Yes",1,0)</f>
        <v>1</v>
      </c>
      <c r="T84">
        <f>IF(Table1[[#This Row],[SLA_Status]]="Met",1,0)</f>
        <v>0</v>
      </c>
      <c r="U84">
        <f>IF(Table1[[#This Row],[SLA_Status]]="Met",Table1[[#This Row],[CSAT_Score]]*1,Table1[[#This Row],[CSAT_Score]]*0.5)</f>
        <v>1</v>
      </c>
      <c r="V84" t="str">
        <f>TEXT(Table1[[#This Row],[Ticket_Date]],"yyyy-mmm")</f>
        <v>2024-Jan</v>
      </c>
    </row>
    <row r="85" spans="1:22" x14ac:dyDescent="0.3">
      <c r="A85" t="s">
        <v>121</v>
      </c>
      <c r="B85" s="1">
        <v>45319</v>
      </c>
      <c r="C85" t="s">
        <v>22</v>
      </c>
      <c r="D85" t="s">
        <v>23</v>
      </c>
      <c r="E85" t="s">
        <v>24</v>
      </c>
      <c r="F85" t="s">
        <v>31</v>
      </c>
      <c r="G85" t="s">
        <v>18</v>
      </c>
      <c r="H85" t="s">
        <v>32</v>
      </c>
      <c r="I85" s="2">
        <v>0.4375</v>
      </c>
      <c r="J85" s="2">
        <v>0.47569444444444442</v>
      </c>
      <c r="K85">
        <v>60</v>
      </c>
      <c r="L85">
        <v>5</v>
      </c>
      <c r="M85" t="s">
        <v>20</v>
      </c>
      <c r="N85" s="3">
        <f>(Table1[[#This Row],[Close_Time]]-Table1[[#This Row],[Open_Time]])*1440</f>
        <v>54.999999999999964</v>
      </c>
      <c r="O85" t="str">
        <f>IF(Table1[[#This Row],[Resolution_Time_Min]]&lt;=Table1[[#This Row],[SLA_Target_Min]],"Met","Breached")</f>
        <v>Met</v>
      </c>
      <c r="P85">
        <f>IF(Table1[[#This Row],[SLA_Status]]="Breached",1,0)</f>
        <v>0</v>
      </c>
      <c r="Q85" t="str" cm="1">
        <f t="array" ref="Q85">_xlfn.IFS(Table1[[#This Row],[Resolution_Time_Min]]&lt;=15,"Very Fast",Table1[[#This Row],[Resolution_Time_Min]]&lt;=30,"Fast",Table1[[#This Row],[Resolution_Time_Min]]&lt;=60,"Moderate",TRUE,"Slow")</f>
        <v>Moderate</v>
      </c>
      <c r="R85" t="str" cm="1">
        <f t="array" ref="R85">_xlfn.IFS(Table1[[#This Row],[CSAT_Score]]&gt;=4,"Satisfied",Table1[[#This Row],[CSAT_Score]]=3,"Neutral",TRUE,"Dissatisfied")</f>
        <v>Satisfied</v>
      </c>
      <c r="S85">
        <f>IF(Table1[[#This Row],[Reopen_Flag]]="Yes",1,0)</f>
        <v>0</v>
      </c>
      <c r="T85">
        <f>IF(Table1[[#This Row],[SLA_Status]]="Met",1,0)</f>
        <v>1</v>
      </c>
      <c r="U85">
        <f>IF(Table1[[#This Row],[SLA_Status]]="Met",Table1[[#This Row],[CSAT_Score]]*1,Table1[[#This Row],[CSAT_Score]]*0.5)</f>
        <v>5</v>
      </c>
      <c r="V85" t="str">
        <f>TEXT(Table1[[#This Row],[Ticket_Date]],"yyyy-mmm")</f>
        <v>2024-Jan</v>
      </c>
    </row>
    <row r="86" spans="1:22" x14ac:dyDescent="0.3">
      <c r="A86" t="s">
        <v>122</v>
      </c>
      <c r="B86" s="1">
        <v>45319</v>
      </c>
      <c r="C86" t="s">
        <v>41</v>
      </c>
      <c r="D86" t="s">
        <v>42</v>
      </c>
      <c r="E86" t="s">
        <v>36</v>
      </c>
      <c r="F86" t="s">
        <v>17</v>
      </c>
      <c r="G86" t="s">
        <v>26</v>
      </c>
      <c r="H86" t="s">
        <v>19</v>
      </c>
      <c r="I86" s="2">
        <v>0.51041666666666663</v>
      </c>
      <c r="J86" s="2">
        <v>0.54861111111111116</v>
      </c>
      <c r="K86">
        <v>30</v>
      </c>
      <c r="L86">
        <v>2</v>
      </c>
      <c r="M86" t="s">
        <v>37</v>
      </c>
      <c r="N86" s="3">
        <f>(Table1[[#This Row],[Close_Time]]-Table1[[#This Row],[Open_Time]])*1440</f>
        <v>55.000000000000128</v>
      </c>
      <c r="O86" t="str">
        <f>IF(Table1[[#This Row],[Resolution_Time_Min]]&lt;=Table1[[#This Row],[SLA_Target_Min]],"Met","Breached")</f>
        <v>Breached</v>
      </c>
      <c r="P86">
        <f>IF(Table1[[#This Row],[SLA_Status]]="Breached",1,0)</f>
        <v>1</v>
      </c>
      <c r="Q86" t="str" cm="1">
        <f t="array" ref="Q86">_xlfn.IFS(Table1[[#This Row],[Resolution_Time_Min]]&lt;=15,"Very Fast",Table1[[#This Row],[Resolution_Time_Min]]&lt;=30,"Fast",Table1[[#This Row],[Resolution_Time_Min]]&lt;=60,"Moderate",TRUE,"Slow")</f>
        <v>Moderate</v>
      </c>
      <c r="R86" t="str" cm="1">
        <f t="array" ref="R86">_xlfn.IFS(Table1[[#This Row],[CSAT_Score]]&gt;=4,"Satisfied",Table1[[#This Row],[CSAT_Score]]=3,"Neutral",TRUE,"Dissatisfied")</f>
        <v>Dissatisfied</v>
      </c>
      <c r="S86">
        <f>IF(Table1[[#This Row],[Reopen_Flag]]="Yes",1,0)</f>
        <v>1</v>
      </c>
      <c r="T86">
        <f>IF(Table1[[#This Row],[SLA_Status]]="Met",1,0)</f>
        <v>0</v>
      </c>
      <c r="U86">
        <f>IF(Table1[[#This Row],[SLA_Status]]="Met",Table1[[#This Row],[CSAT_Score]]*1,Table1[[#This Row],[CSAT_Score]]*0.5)</f>
        <v>1</v>
      </c>
      <c r="V86" t="str">
        <f>TEXT(Table1[[#This Row],[Ticket_Date]],"yyyy-mmm")</f>
        <v>2024-Jan</v>
      </c>
    </row>
    <row r="87" spans="1:22" x14ac:dyDescent="0.3">
      <c r="A87" t="s">
        <v>123</v>
      </c>
      <c r="B87" s="1">
        <v>45320</v>
      </c>
      <c r="C87" t="s">
        <v>44</v>
      </c>
      <c r="D87" t="s">
        <v>45</v>
      </c>
      <c r="E87" t="s">
        <v>16</v>
      </c>
      <c r="F87" t="s">
        <v>31</v>
      </c>
      <c r="G87" t="s">
        <v>18</v>
      </c>
      <c r="H87" t="s">
        <v>32</v>
      </c>
      <c r="I87" s="2">
        <v>0.38194444444444442</v>
      </c>
      <c r="J87" s="2">
        <v>0.4201388888888889</v>
      </c>
      <c r="K87">
        <v>60</v>
      </c>
      <c r="L87">
        <v>5</v>
      </c>
      <c r="M87" t="s">
        <v>20</v>
      </c>
      <c r="N87" s="3">
        <f>(Table1[[#This Row],[Close_Time]]-Table1[[#This Row],[Open_Time]])*1440</f>
        <v>55.000000000000043</v>
      </c>
      <c r="O87" t="str">
        <f>IF(Table1[[#This Row],[Resolution_Time_Min]]&lt;=Table1[[#This Row],[SLA_Target_Min]],"Met","Breached")</f>
        <v>Met</v>
      </c>
      <c r="P87">
        <f>IF(Table1[[#This Row],[SLA_Status]]="Breached",1,0)</f>
        <v>0</v>
      </c>
      <c r="Q87" t="str" cm="1">
        <f t="array" ref="Q87">_xlfn.IFS(Table1[[#This Row],[Resolution_Time_Min]]&lt;=15,"Very Fast",Table1[[#This Row],[Resolution_Time_Min]]&lt;=30,"Fast",Table1[[#This Row],[Resolution_Time_Min]]&lt;=60,"Moderate",TRUE,"Slow")</f>
        <v>Moderate</v>
      </c>
      <c r="R87" t="str" cm="1">
        <f t="array" ref="R87">_xlfn.IFS(Table1[[#This Row],[CSAT_Score]]&gt;=4,"Satisfied",Table1[[#This Row],[CSAT_Score]]=3,"Neutral",TRUE,"Dissatisfied")</f>
        <v>Satisfied</v>
      </c>
      <c r="S87">
        <f>IF(Table1[[#This Row],[Reopen_Flag]]="Yes",1,0)</f>
        <v>0</v>
      </c>
      <c r="T87">
        <f>IF(Table1[[#This Row],[SLA_Status]]="Met",1,0)</f>
        <v>1</v>
      </c>
      <c r="U87">
        <f>IF(Table1[[#This Row],[SLA_Status]]="Met",Table1[[#This Row],[CSAT_Score]]*1,Table1[[#This Row],[CSAT_Score]]*0.5)</f>
        <v>5</v>
      </c>
      <c r="V87" t="str">
        <f>TEXT(Table1[[#This Row],[Ticket_Date]],"yyyy-mmm")</f>
        <v>2024-Jan</v>
      </c>
    </row>
    <row r="88" spans="1:22" x14ac:dyDescent="0.3">
      <c r="A88" t="s">
        <v>124</v>
      </c>
      <c r="B88" s="1">
        <v>45320</v>
      </c>
      <c r="C88" t="s">
        <v>29</v>
      </c>
      <c r="D88" t="s">
        <v>30</v>
      </c>
      <c r="E88" t="s">
        <v>16</v>
      </c>
      <c r="F88" t="s">
        <v>17</v>
      </c>
      <c r="G88" t="s">
        <v>18</v>
      </c>
      <c r="H88" t="s">
        <v>27</v>
      </c>
      <c r="I88" s="2">
        <v>0.44097222222222221</v>
      </c>
      <c r="J88" s="2">
        <v>0.46875</v>
      </c>
      <c r="K88">
        <v>40</v>
      </c>
      <c r="L88">
        <v>4</v>
      </c>
      <c r="M88" t="s">
        <v>20</v>
      </c>
      <c r="N88" s="3">
        <f>(Table1[[#This Row],[Close_Time]]-Table1[[#This Row],[Open_Time]])*1440</f>
        <v>40.000000000000014</v>
      </c>
      <c r="O88" t="str">
        <f>IF(Table1[[#This Row],[Resolution_Time_Min]]&lt;=Table1[[#This Row],[SLA_Target_Min]],"Met","Breached")</f>
        <v>Met</v>
      </c>
      <c r="P88">
        <f>IF(Table1[[#This Row],[SLA_Status]]="Breached",1,0)</f>
        <v>0</v>
      </c>
      <c r="Q88" t="str" cm="1">
        <f t="array" ref="Q88">_xlfn.IFS(Table1[[#This Row],[Resolution_Time_Min]]&lt;=15,"Very Fast",Table1[[#This Row],[Resolution_Time_Min]]&lt;=30,"Fast",Table1[[#This Row],[Resolution_Time_Min]]&lt;=60,"Moderate",TRUE,"Slow")</f>
        <v>Moderate</v>
      </c>
      <c r="R88" t="str" cm="1">
        <f t="array" ref="R88">_xlfn.IFS(Table1[[#This Row],[CSAT_Score]]&gt;=4,"Satisfied",Table1[[#This Row],[CSAT_Score]]=3,"Neutral",TRUE,"Dissatisfied")</f>
        <v>Satisfied</v>
      </c>
      <c r="S88">
        <f>IF(Table1[[#This Row],[Reopen_Flag]]="Yes",1,0)</f>
        <v>0</v>
      </c>
      <c r="T88">
        <f>IF(Table1[[#This Row],[SLA_Status]]="Met",1,0)</f>
        <v>1</v>
      </c>
      <c r="U88">
        <f>IF(Table1[[#This Row],[SLA_Status]]="Met",Table1[[#This Row],[CSAT_Score]]*1,Table1[[#This Row],[CSAT_Score]]*0.5)</f>
        <v>4</v>
      </c>
      <c r="V88" t="str">
        <f>TEXT(Table1[[#This Row],[Ticket_Date]],"yyyy-mmm")</f>
        <v>2024-Jan</v>
      </c>
    </row>
    <row r="89" spans="1:22" x14ac:dyDescent="0.3">
      <c r="A89" t="s">
        <v>125</v>
      </c>
      <c r="B89" s="1">
        <v>45320</v>
      </c>
      <c r="C89" t="s">
        <v>34</v>
      </c>
      <c r="D89" t="s">
        <v>35</v>
      </c>
      <c r="E89" t="s">
        <v>36</v>
      </c>
      <c r="F89" t="s">
        <v>17</v>
      </c>
      <c r="G89" t="s">
        <v>26</v>
      </c>
      <c r="H89" t="s">
        <v>19</v>
      </c>
      <c r="I89" s="2">
        <v>0.50347222222222221</v>
      </c>
      <c r="J89" s="2">
        <v>0.54166666666666663</v>
      </c>
      <c r="K89">
        <v>30</v>
      </c>
      <c r="L89">
        <v>2</v>
      </c>
      <c r="M89" t="s">
        <v>37</v>
      </c>
      <c r="N89" s="3">
        <f>(Table1[[#This Row],[Close_Time]]-Table1[[#This Row],[Open_Time]])*1440</f>
        <v>54.999999999999964</v>
      </c>
      <c r="O89" t="str">
        <f>IF(Table1[[#This Row],[Resolution_Time_Min]]&lt;=Table1[[#This Row],[SLA_Target_Min]],"Met","Breached")</f>
        <v>Breached</v>
      </c>
      <c r="P89">
        <f>IF(Table1[[#This Row],[SLA_Status]]="Breached",1,0)</f>
        <v>1</v>
      </c>
      <c r="Q89" t="str" cm="1">
        <f t="array" ref="Q89">_xlfn.IFS(Table1[[#This Row],[Resolution_Time_Min]]&lt;=15,"Very Fast",Table1[[#This Row],[Resolution_Time_Min]]&lt;=30,"Fast",Table1[[#This Row],[Resolution_Time_Min]]&lt;=60,"Moderate",TRUE,"Slow")</f>
        <v>Moderate</v>
      </c>
      <c r="R89" t="str" cm="1">
        <f t="array" ref="R89">_xlfn.IFS(Table1[[#This Row],[CSAT_Score]]&gt;=4,"Satisfied",Table1[[#This Row],[CSAT_Score]]=3,"Neutral",TRUE,"Dissatisfied")</f>
        <v>Dissatisfied</v>
      </c>
      <c r="S89">
        <f>IF(Table1[[#This Row],[Reopen_Flag]]="Yes",1,0)</f>
        <v>1</v>
      </c>
      <c r="T89">
        <f>IF(Table1[[#This Row],[SLA_Status]]="Met",1,0)</f>
        <v>0</v>
      </c>
      <c r="U89">
        <f>IF(Table1[[#This Row],[SLA_Status]]="Met",Table1[[#This Row],[CSAT_Score]]*1,Table1[[#This Row],[CSAT_Score]]*0.5)</f>
        <v>1</v>
      </c>
      <c r="V89" t="str">
        <f>TEXT(Table1[[#This Row],[Ticket_Date]],"yyyy-mmm")</f>
        <v>2024-Jan</v>
      </c>
    </row>
    <row r="90" spans="1:22" x14ac:dyDescent="0.3">
      <c r="A90" t="s">
        <v>126</v>
      </c>
      <c r="B90" s="1">
        <v>45321</v>
      </c>
      <c r="C90" t="s">
        <v>14</v>
      </c>
      <c r="D90" t="s">
        <v>15</v>
      </c>
      <c r="E90" t="s">
        <v>16</v>
      </c>
      <c r="F90" t="s">
        <v>25</v>
      </c>
      <c r="G90" t="s">
        <v>18</v>
      </c>
      <c r="H90" t="s">
        <v>27</v>
      </c>
      <c r="I90" s="2">
        <v>0.3888888888888889</v>
      </c>
      <c r="J90" s="2">
        <v>0.41666666666666669</v>
      </c>
      <c r="K90">
        <v>40</v>
      </c>
      <c r="L90">
        <v>4</v>
      </c>
      <c r="M90" t="s">
        <v>20</v>
      </c>
      <c r="N90" s="3">
        <f>(Table1[[#This Row],[Close_Time]]-Table1[[#This Row],[Open_Time]])*1440</f>
        <v>40.000000000000014</v>
      </c>
      <c r="O90" t="str">
        <f>IF(Table1[[#This Row],[Resolution_Time_Min]]&lt;=Table1[[#This Row],[SLA_Target_Min]],"Met","Breached")</f>
        <v>Met</v>
      </c>
      <c r="P90">
        <f>IF(Table1[[#This Row],[SLA_Status]]="Breached",1,0)</f>
        <v>0</v>
      </c>
      <c r="Q90" t="str" cm="1">
        <f t="array" ref="Q90">_xlfn.IFS(Table1[[#This Row],[Resolution_Time_Min]]&lt;=15,"Very Fast",Table1[[#This Row],[Resolution_Time_Min]]&lt;=30,"Fast",Table1[[#This Row],[Resolution_Time_Min]]&lt;=60,"Moderate",TRUE,"Slow")</f>
        <v>Moderate</v>
      </c>
      <c r="R90" t="str" cm="1">
        <f t="array" ref="R90">_xlfn.IFS(Table1[[#This Row],[CSAT_Score]]&gt;=4,"Satisfied",Table1[[#This Row],[CSAT_Score]]=3,"Neutral",TRUE,"Dissatisfied")</f>
        <v>Satisfied</v>
      </c>
      <c r="S90">
        <f>IF(Table1[[#This Row],[Reopen_Flag]]="Yes",1,0)</f>
        <v>0</v>
      </c>
      <c r="T90">
        <f>IF(Table1[[#This Row],[SLA_Status]]="Met",1,0)</f>
        <v>1</v>
      </c>
      <c r="U90">
        <f>IF(Table1[[#This Row],[SLA_Status]]="Met",Table1[[#This Row],[CSAT_Score]]*1,Table1[[#This Row],[CSAT_Score]]*0.5)</f>
        <v>4</v>
      </c>
      <c r="V90" t="str">
        <f>TEXT(Table1[[#This Row],[Ticket_Date]],"yyyy-mmm")</f>
        <v>2024-Jan</v>
      </c>
    </row>
    <row r="91" spans="1:22" x14ac:dyDescent="0.3">
      <c r="A91" t="s">
        <v>127</v>
      </c>
      <c r="B91" s="1">
        <v>45321</v>
      </c>
      <c r="C91" t="s">
        <v>22</v>
      </c>
      <c r="D91" t="s">
        <v>23</v>
      </c>
      <c r="E91" t="s">
        <v>24</v>
      </c>
      <c r="F91" t="s">
        <v>25</v>
      </c>
      <c r="G91" t="s">
        <v>26</v>
      </c>
      <c r="H91" t="s">
        <v>32</v>
      </c>
      <c r="I91" s="2">
        <v>0.44444444444444442</v>
      </c>
      <c r="J91" s="2">
        <v>0.47916666666666669</v>
      </c>
      <c r="K91">
        <v>60</v>
      </c>
      <c r="L91">
        <v>5</v>
      </c>
      <c r="M91" t="s">
        <v>20</v>
      </c>
      <c r="N91" s="3">
        <f>(Table1[[#This Row],[Close_Time]]-Table1[[#This Row],[Open_Time]])*1440</f>
        <v>50.000000000000064</v>
      </c>
      <c r="O91" t="str">
        <f>IF(Table1[[#This Row],[Resolution_Time_Min]]&lt;=Table1[[#This Row],[SLA_Target_Min]],"Met","Breached")</f>
        <v>Met</v>
      </c>
      <c r="P91">
        <f>IF(Table1[[#This Row],[SLA_Status]]="Breached",1,0)</f>
        <v>0</v>
      </c>
      <c r="Q91" t="str" cm="1">
        <f t="array" ref="Q91">_xlfn.IFS(Table1[[#This Row],[Resolution_Time_Min]]&lt;=15,"Very Fast",Table1[[#This Row],[Resolution_Time_Min]]&lt;=30,"Fast",Table1[[#This Row],[Resolution_Time_Min]]&lt;=60,"Moderate",TRUE,"Slow")</f>
        <v>Moderate</v>
      </c>
      <c r="R91" t="str" cm="1">
        <f t="array" ref="R91">_xlfn.IFS(Table1[[#This Row],[CSAT_Score]]&gt;=4,"Satisfied",Table1[[#This Row],[CSAT_Score]]=3,"Neutral",TRUE,"Dissatisfied")</f>
        <v>Satisfied</v>
      </c>
      <c r="S91">
        <f>IF(Table1[[#This Row],[Reopen_Flag]]="Yes",1,0)</f>
        <v>0</v>
      </c>
      <c r="T91">
        <f>IF(Table1[[#This Row],[SLA_Status]]="Met",1,0)</f>
        <v>1</v>
      </c>
      <c r="U91">
        <f>IF(Table1[[#This Row],[SLA_Status]]="Met",Table1[[#This Row],[CSAT_Score]]*1,Table1[[#This Row],[CSAT_Score]]*0.5)</f>
        <v>5</v>
      </c>
      <c r="V91" t="str">
        <f>TEXT(Table1[[#This Row],[Ticket_Date]],"yyyy-mmm")</f>
        <v>2024-Jan</v>
      </c>
    </row>
    <row r="92" spans="1:22" x14ac:dyDescent="0.3">
      <c r="A92" t="s">
        <v>128</v>
      </c>
      <c r="B92" s="1">
        <v>45321</v>
      </c>
      <c r="C92" t="s">
        <v>41</v>
      </c>
      <c r="D92" t="s">
        <v>42</v>
      </c>
      <c r="E92" t="s">
        <v>36</v>
      </c>
      <c r="F92" t="s">
        <v>17</v>
      </c>
      <c r="G92" t="s">
        <v>26</v>
      </c>
      <c r="H92" t="s">
        <v>27</v>
      </c>
      <c r="I92" s="2">
        <v>0.51736111111111116</v>
      </c>
      <c r="J92" s="2">
        <v>0.54513888888888884</v>
      </c>
      <c r="K92">
        <v>40</v>
      </c>
      <c r="L92">
        <v>3</v>
      </c>
      <c r="M92" t="s">
        <v>20</v>
      </c>
      <c r="N92" s="3">
        <f>(Table1[[#This Row],[Close_Time]]-Table1[[#This Row],[Open_Time]])*1440</f>
        <v>39.999999999999858</v>
      </c>
      <c r="O92" t="str">
        <f>IF(Table1[[#This Row],[Resolution_Time_Min]]&lt;=Table1[[#This Row],[SLA_Target_Min]],"Met","Breached")</f>
        <v>Met</v>
      </c>
      <c r="P92">
        <f>IF(Table1[[#This Row],[SLA_Status]]="Breached",1,0)</f>
        <v>0</v>
      </c>
      <c r="Q92" t="str" cm="1">
        <f t="array" ref="Q92">_xlfn.IFS(Table1[[#This Row],[Resolution_Time_Min]]&lt;=15,"Very Fast",Table1[[#This Row],[Resolution_Time_Min]]&lt;=30,"Fast",Table1[[#This Row],[Resolution_Time_Min]]&lt;=60,"Moderate",TRUE,"Slow")</f>
        <v>Moderate</v>
      </c>
      <c r="R92" t="str" cm="1">
        <f t="array" ref="R92">_xlfn.IFS(Table1[[#This Row],[CSAT_Score]]&gt;=4,"Satisfied",Table1[[#This Row],[CSAT_Score]]=3,"Neutral",TRUE,"Dissatisfied")</f>
        <v>Neutral</v>
      </c>
      <c r="S92">
        <f>IF(Table1[[#This Row],[Reopen_Flag]]="Yes",1,0)</f>
        <v>0</v>
      </c>
      <c r="T92">
        <f>IF(Table1[[#This Row],[SLA_Status]]="Met",1,0)</f>
        <v>1</v>
      </c>
      <c r="U92">
        <f>IF(Table1[[#This Row],[SLA_Status]]="Met",Table1[[#This Row],[CSAT_Score]]*1,Table1[[#This Row],[CSAT_Score]]*0.5)</f>
        <v>3</v>
      </c>
      <c r="V92" t="str">
        <f>TEXT(Table1[[#This Row],[Ticket_Date]],"yyyy-mmm")</f>
        <v>2024-Jan</v>
      </c>
    </row>
    <row r="93" spans="1:22" x14ac:dyDescent="0.3">
      <c r="A93" t="s">
        <v>129</v>
      </c>
      <c r="B93" s="1">
        <v>45322</v>
      </c>
      <c r="C93" t="s">
        <v>44</v>
      </c>
      <c r="D93" t="s">
        <v>45</v>
      </c>
      <c r="E93" t="s">
        <v>16</v>
      </c>
      <c r="F93" t="s">
        <v>17</v>
      </c>
      <c r="G93" t="s">
        <v>18</v>
      </c>
      <c r="H93" t="s">
        <v>27</v>
      </c>
      <c r="I93" s="2">
        <v>0.38541666666666669</v>
      </c>
      <c r="J93" s="2">
        <v>0.41319444444444442</v>
      </c>
      <c r="K93">
        <v>40</v>
      </c>
      <c r="L93">
        <v>4</v>
      </c>
      <c r="M93" t="s">
        <v>20</v>
      </c>
      <c r="N93" s="3">
        <f>(Table1[[#This Row],[Close_Time]]-Table1[[#This Row],[Open_Time]])*1440</f>
        <v>39.999999999999936</v>
      </c>
      <c r="O93" t="str">
        <f>IF(Table1[[#This Row],[Resolution_Time_Min]]&lt;=Table1[[#This Row],[SLA_Target_Min]],"Met","Breached")</f>
        <v>Met</v>
      </c>
      <c r="P93">
        <f>IF(Table1[[#This Row],[SLA_Status]]="Breached",1,0)</f>
        <v>0</v>
      </c>
      <c r="Q93" t="str" cm="1">
        <f t="array" ref="Q93">_xlfn.IFS(Table1[[#This Row],[Resolution_Time_Min]]&lt;=15,"Very Fast",Table1[[#This Row],[Resolution_Time_Min]]&lt;=30,"Fast",Table1[[#This Row],[Resolution_Time_Min]]&lt;=60,"Moderate",TRUE,"Slow")</f>
        <v>Moderate</v>
      </c>
      <c r="R93" t="str" cm="1">
        <f t="array" ref="R93">_xlfn.IFS(Table1[[#This Row],[CSAT_Score]]&gt;=4,"Satisfied",Table1[[#This Row],[CSAT_Score]]=3,"Neutral",TRUE,"Dissatisfied")</f>
        <v>Satisfied</v>
      </c>
      <c r="S93">
        <f>IF(Table1[[#This Row],[Reopen_Flag]]="Yes",1,0)</f>
        <v>0</v>
      </c>
      <c r="T93">
        <f>IF(Table1[[#This Row],[SLA_Status]]="Met",1,0)</f>
        <v>1</v>
      </c>
      <c r="U93">
        <f>IF(Table1[[#This Row],[SLA_Status]]="Met",Table1[[#This Row],[CSAT_Score]]*1,Table1[[#This Row],[CSAT_Score]]*0.5)</f>
        <v>4</v>
      </c>
      <c r="V93" t="str">
        <f>TEXT(Table1[[#This Row],[Ticket_Date]],"yyyy-mmm")</f>
        <v>2024-Jan</v>
      </c>
    </row>
    <row r="94" spans="1:22" x14ac:dyDescent="0.3">
      <c r="A94" t="s">
        <v>130</v>
      </c>
      <c r="B94" s="1">
        <v>45322</v>
      </c>
      <c r="C94" t="s">
        <v>29</v>
      </c>
      <c r="D94" t="s">
        <v>30</v>
      </c>
      <c r="E94" t="s">
        <v>16</v>
      </c>
      <c r="F94" t="s">
        <v>31</v>
      </c>
      <c r="G94" t="s">
        <v>18</v>
      </c>
      <c r="H94" t="s">
        <v>32</v>
      </c>
      <c r="I94" s="2">
        <v>0.43402777777777779</v>
      </c>
      <c r="J94" s="2">
        <v>0.47222222222222221</v>
      </c>
      <c r="K94">
        <v>60</v>
      </c>
      <c r="L94">
        <v>5</v>
      </c>
      <c r="M94" t="s">
        <v>20</v>
      </c>
      <c r="N94" s="3">
        <f>(Table1[[#This Row],[Close_Time]]-Table1[[#This Row],[Open_Time]])*1440</f>
        <v>54.999999999999964</v>
      </c>
      <c r="O94" t="str">
        <f>IF(Table1[[#This Row],[Resolution_Time_Min]]&lt;=Table1[[#This Row],[SLA_Target_Min]],"Met","Breached")</f>
        <v>Met</v>
      </c>
      <c r="P94">
        <f>IF(Table1[[#This Row],[SLA_Status]]="Breached",1,0)</f>
        <v>0</v>
      </c>
      <c r="Q94" t="str" cm="1">
        <f t="array" ref="Q94">_xlfn.IFS(Table1[[#This Row],[Resolution_Time_Min]]&lt;=15,"Very Fast",Table1[[#This Row],[Resolution_Time_Min]]&lt;=30,"Fast",Table1[[#This Row],[Resolution_Time_Min]]&lt;=60,"Moderate",TRUE,"Slow")</f>
        <v>Moderate</v>
      </c>
      <c r="R94" t="str" cm="1">
        <f t="array" ref="R94">_xlfn.IFS(Table1[[#This Row],[CSAT_Score]]&gt;=4,"Satisfied",Table1[[#This Row],[CSAT_Score]]=3,"Neutral",TRUE,"Dissatisfied")</f>
        <v>Satisfied</v>
      </c>
      <c r="S94">
        <f>IF(Table1[[#This Row],[Reopen_Flag]]="Yes",1,0)</f>
        <v>0</v>
      </c>
      <c r="T94">
        <f>IF(Table1[[#This Row],[SLA_Status]]="Met",1,0)</f>
        <v>1</v>
      </c>
      <c r="U94">
        <f>IF(Table1[[#This Row],[SLA_Status]]="Met",Table1[[#This Row],[CSAT_Score]]*1,Table1[[#This Row],[CSAT_Score]]*0.5)</f>
        <v>5</v>
      </c>
      <c r="V94" t="str">
        <f>TEXT(Table1[[#This Row],[Ticket_Date]],"yyyy-mmm")</f>
        <v>2024-Jan</v>
      </c>
    </row>
    <row r="95" spans="1:22" x14ac:dyDescent="0.3">
      <c r="A95" t="s">
        <v>131</v>
      </c>
      <c r="B95" s="1">
        <v>45322</v>
      </c>
      <c r="C95" t="s">
        <v>34</v>
      </c>
      <c r="D95" t="s">
        <v>35</v>
      </c>
      <c r="E95" t="s">
        <v>36</v>
      </c>
      <c r="F95" t="s">
        <v>25</v>
      </c>
      <c r="G95" t="s">
        <v>26</v>
      </c>
      <c r="H95" t="s">
        <v>27</v>
      </c>
      <c r="I95" s="2">
        <v>0.50347222222222221</v>
      </c>
      <c r="J95" s="2">
        <v>0.53125</v>
      </c>
      <c r="K95">
        <v>40</v>
      </c>
      <c r="L95">
        <v>4</v>
      </c>
      <c r="M95" t="s">
        <v>20</v>
      </c>
      <c r="N95" s="3">
        <f>(Table1[[#This Row],[Close_Time]]-Table1[[#This Row],[Open_Time]])*1440</f>
        <v>40.000000000000014</v>
      </c>
      <c r="O95" t="str">
        <f>IF(Table1[[#This Row],[Resolution_Time_Min]]&lt;=Table1[[#This Row],[SLA_Target_Min]],"Met","Breached")</f>
        <v>Met</v>
      </c>
      <c r="P95">
        <f>IF(Table1[[#This Row],[SLA_Status]]="Breached",1,0)</f>
        <v>0</v>
      </c>
      <c r="Q95" t="str" cm="1">
        <f t="array" ref="Q95">_xlfn.IFS(Table1[[#This Row],[Resolution_Time_Min]]&lt;=15,"Very Fast",Table1[[#This Row],[Resolution_Time_Min]]&lt;=30,"Fast",Table1[[#This Row],[Resolution_Time_Min]]&lt;=60,"Moderate",TRUE,"Slow")</f>
        <v>Moderate</v>
      </c>
      <c r="R95" t="str" cm="1">
        <f t="array" ref="R95">_xlfn.IFS(Table1[[#This Row],[CSAT_Score]]&gt;=4,"Satisfied",Table1[[#This Row],[CSAT_Score]]=3,"Neutral",TRUE,"Dissatisfied")</f>
        <v>Satisfied</v>
      </c>
      <c r="S95">
        <f>IF(Table1[[#This Row],[Reopen_Flag]]="Yes",1,0)</f>
        <v>0</v>
      </c>
      <c r="T95">
        <f>IF(Table1[[#This Row],[SLA_Status]]="Met",1,0)</f>
        <v>1</v>
      </c>
      <c r="U95">
        <f>IF(Table1[[#This Row],[SLA_Status]]="Met",Table1[[#This Row],[CSAT_Score]]*1,Table1[[#This Row],[CSAT_Score]]*0.5)</f>
        <v>4</v>
      </c>
      <c r="V95" t="str">
        <f>TEXT(Table1[[#This Row],[Ticket_Date]],"yyyy-mmm")</f>
        <v>2024-Jan</v>
      </c>
    </row>
    <row r="96" spans="1:22" x14ac:dyDescent="0.3">
      <c r="A96" t="s">
        <v>132</v>
      </c>
      <c r="B96" s="1">
        <v>45323</v>
      </c>
      <c r="C96" t="s">
        <v>14</v>
      </c>
      <c r="D96" t="s">
        <v>15</v>
      </c>
      <c r="E96" t="s">
        <v>16</v>
      </c>
      <c r="F96" t="s">
        <v>17</v>
      </c>
      <c r="G96" t="s">
        <v>18</v>
      </c>
      <c r="H96" t="s">
        <v>19</v>
      </c>
      <c r="I96" s="2">
        <v>0.37847222222222221</v>
      </c>
      <c r="J96" s="2">
        <v>0.41666666666666669</v>
      </c>
      <c r="K96">
        <v>30</v>
      </c>
      <c r="L96">
        <v>2</v>
      </c>
      <c r="M96" t="s">
        <v>37</v>
      </c>
      <c r="N96" s="3">
        <f>(Table1[[#This Row],[Close_Time]]-Table1[[#This Row],[Open_Time]])*1440</f>
        <v>55.000000000000043</v>
      </c>
      <c r="O96" t="str">
        <f>IF(Table1[[#This Row],[Resolution_Time_Min]]&lt;=Table1[[#This Row],[SLA_Target_Min]],"Met","Breached")</f>
        <v>Breached</v>
      </c>
      <c r="P96">
        <f>IF(Table1[[#This Row],[SLA_Status]]="Breached",1,0)</f>
        <v>1</v>
      </c>
      <c r="Q96" t="str" cm="1">
        <f t="array" ref="Q96">_xlfn.IFS(Table1[[#This Row],[Resolution_Time_Min]]&lt;=15,"Very Fast",Table1[[#This Row],[Resolution_Time_Min]]&lt;=30,"Fast",Table1[[#This Row],[Resolution_Time_Min]]&lt;=60,"Moderate",TRUE,"Slow")</f>
        <v>Moderate</v>
      </c>
      <c r="R96" t="str" cm="1">
        <f t="array" ref="R96">_xlfn.IFS(Table1[[#This Row],[CSAT_Score]]&gt;=4,"Satisfied",Table1[[#This Row],[CSAT_Score]]=3,"Neutral",TRUE,"Dissatisfied")</f>
        <v>Dissatisfied</v>
      </c>
      <c r="S96">
        <f>IF(Table1[[#This Row],[Reopen_Flag]]="Yes",1,0)</f>
        <v>1</v>
      </c>
      <c r="T96">
        <f>IF(Table1[[#This Row],[SLA_Status]]="Met",1,0)</f>
        <v>0</v>
      </c>
      <c r="U96">
        <f>IF(Table1[[#This Row],[SLA_Status]]="Met",Table1[[#This Row],[CSAT_Score]]*1,Table1[[#This Row],[CSAT_Score]]*0.5)</f>
        <v>1</v>
      </c>
      <c r="V96" t="str">
        <f>TEXT(Table1[[#This Row],[Ticket_Date]],"yyyy-mmm")</f>
        <v>2024-Feb</v>
      </c>
    </row>
    <row r="97" spans="1:22" x14ac:dyDescent="0.3">
      <c r="A97" t="s">
        <v>133</v>
      </c>
      <c r="B97" s="1">
        <v>45323</v>
      </c>
      <c r="C97" t="s">
        <v>22</v>
      </c>
      <c r="D97" t="s">
        <v>23</v>
      </c>
      <c r="E97" t="s">
        <v>24</v>
      </c>
      <c r="F97" t="s">
        <v>31</v>
      </c>
      <c r="G97" t="s">
        <v>18</v>
      </c>
      <c r="H97" t="s">
        <v>32</v>
      </c>
      <c r="I97" s="2">
        <v>0.4375</v>
      </c>
      <c r="J97" s="2">
        <v>0.47569444444444442</v>
      </c>
      <c r="K97">
        <v>60</v>
      </c>
      <c r="L97">
        <v>5</v>
      </c>
      <c r="M97" t="s">
        <v>20</v>
      </c>
      <c r="N97" s="3">
        <f>(Table1[[#This Row],[Close_Time]]-Table1[[#This Row],[Open_Time]])*1440</f>
        <v>54.999999999999964</v>
      </c>
      <c r="O97" t="str">
        <f>IF(Table1[[#This Row],[Resolution_Time_Min]]&lt;=Table1[[#This Row],[SLA_Target_Min]],"Met","Breached")</f>
        <v>Met</v>
      </c>
      <c r="P97">
        <f>IF(Table1[[#This Row],[SLA_Status]]="Breached",1,0)</f>
        <v>0</v>
      </c>
      <c r="Q97" t="str" cm="1">
        <f t="array" ref="Q97">_xlfn.IFS(Table1[[#This Row],[Resolution_Time_Min]]&lt;=15,"Very Fast",Table1[[#This Row],[Resolution_Time_Min]]&lt;=30,"Fast",Table1[[#This Row],[Resolution_Time_Min]]&lt;=60,"Moderate",TRUE,"Slow")</f>
        <v>Moderate</v>
      </c>
      <c r="R97" t="str" cm="1">
        <f t="array" ref="R97">_xlfn.IFS(Table1[[#This Row],[CSAT_Score]]&gt;=4,"Satisfied",Table1[[#This Row],[CSAT_Score]]=3,"Neutral",TRUE,"Dissatisfied")</f>
        <v>Satisfied</v>
      </c>
      <c r="S97">
        <f>IF(Table1[[#This Row],[Reopen_Flag]]="Yes",1,0)</f>
        <v>0</v>
      </c>
      <c r="T97">
        <f>IF(Table1[[#This Row],[SLA_Status]]="Met",1,0)</f>
        <v>1</v>
      </c>
      <c r="U97">
        <f>IF(Table1[[#This Row],[SLA_Status]]="Met",Table1[[#This Row],[CSAT_Score]]*1,Table1[[#This Row],[CSAT_Score]]*0.5)</f>
        <v>5</v>
      </c>
      <c r="V97" t="str">
        <f>TEXT(Table1[[#This Row],[Ticket_Date]],"yyyy-mmm")</f>
        <v>2024-Feb</v>
      </c>
    </row>
    <row r="98" spans="1:22" x14ac:dyDescent="0.3">
      <c r="A98" t="s">
        <v>134</v>
      </c>
      <c r="B98" s="1">
        <v>45323</v>
      </c>
      <c r="C98" t="s">
        <v>41</v>
      </c>
      <c r="D98" t="s">
        <v>42</v>
      </c>
      <c r="E98" t="s">
        <v>36</v>
      </c>
      <c r="F98" t="s">
        <v>17</v>
      </c>
      <c r="G98" t="s">
        <v>26</v>
      </c>
      <c r="H98" t="s">
        <v>19</v>
      </c>
      <c r="I98" s="2">
        <v>0.50694444444444442</v>
      </c>
      <c r="J98" s="2">
        <v>0.54513888888888884</v>
      </c>
      <c r="K98">
        <v>30</v>
      </c>
      <c r="L98">
        <v>2</v>
      </c>
      <c r="M98" t="s">
        <v>37</v>
      </c>
      <c r="N98" s="3">
        <f>(Table1[[#This Row],[Close_Time]]-Table1[[#This Row],[Open_Time]])*1440</f>
        <v>54.999999999999964</v>
      </c>
      <c r="O98" t="str">
        <f>IF(Table1[[#This Row],[Resolution_Time_Min]]&lt;=Table1[[#This Row],[SLA_Target_Min]],"Met","Breached")</f>
        <v>Breached</v>
      </c>
      <c r="P98">
        <f>IF(Table1[[#This Row],[SLA_Status]]="Breached",1,0)</f>
        <v>1</v>
      </c>
      <c r="Q98" t="str" cm="1">
        <f t="array" ref="Q98">_xlfn.IFS(Table1[[#This Row],[Resolution_Time_Min]]&lt;=15,"Very Fast",Table1[[#This Row],[Resolution_Time_Min]]&lt;=30,"Fast",Table1[[#This Row],[Resolution_Time_Min]]&lt;=60,"Moderate",TRUE,"Slow")</f>
        <v>Moderate</v>
      </c>
      <c r="R98" t="str" cm="1">
        <f t="array" ref="R98">_xlfn.IFS(Table1[[#This Row],[CSAT_Score]]&gt;=4,"Satisfied",Table1[[#This Row],[CSAT_Score]]=3,"Neutral",TRUE,"Dissatisfied")</f>
        <v>Dissatisfied</v>
      </c>
      <c r="S98">
        <f>IF(Table1[[#This Row],[Reopen_Flag]]="Yes",1,0)</f>
        <v>1</v>
      </c>
      <c r="T98">
        <f>IF(Table1[[#This Row],[SLA_Status]]="Met",1,0)</f>
        <v>0</v>
      </c>
      <c r="U98">
        <f>IF(Table1[[#This Row],[SLA_Status]]="Met",Table1[[#This Row],[CSAT_Score]]*1,Table1[[#This Row],[CSAT_Score]]*0.5)</f>
        <v>1</v>
      </c>
      <c r="V98" t="str">
        <f>TEXT(Table1[[#This Row],[Ticket_Date]],"yyyy-mmm")</f>
        <v>2024-Feb</v>
      </c>
    </row>
    <row r="99" spans="1:22" x14ac:dyDescent="0.3">
      <c r="A99" t="s">
        <v>135</v>
      </c>
      <c r="B99" s="1">
        <v>45324</v>
      </c>
      <c r="C99" t="s">
        <v>44</v>
      </c>
      <c r="D99" t="s">
        <v>45</v>
      </c>
      <c r="E99" t="s">
        <v>16</v>
      </c>
      <c r="F99" t="s">
        <v>25</v>
      </c>
      <c r="G99" t="s">
        <v>18</v>
      </c>
      <c r="H99" t="s">
        <v>27</v>
      </c>
      <c r="I99" s="2">
        <v>0.3888888888888889</v>
      </c>
      <c r="J99" s="2">
        <v>0.41666666666666669</v>
      </c>
      <c r="K99">
        <v>40</v>
      </c>
      <c r="L99">
        <v>4</v>
      </c>
      <c r="M99" t="s">
        <v>20</v>
      </c>
      <c r="N99" s="3">
        <f>(Table1[[#This Row],[Close_Time]]-Table1[[#This Row],[Open_Time]])*1440</f>
        <v>40.000000000000014</v>
      </c>
      <c r="O99" t="str">
        <f>IF(Table1[[#This Row],[Resolution_Time_Min]]&lt;=Table1[[#This Row],[SLA_Target_Min]],"Met","Breached")</f>
        <v>Met</v>
      </c>
      <c r="P99">
        <f>IF(Table1[[#This Row],[SLA_Status]]="Breached",1,0)</f>
        <v>0</v>
      </c>
      <c r="Q99" t="str" cm="1">
        <f t="array" ref="Q99">_xlfn.IFS(Table1[[#This Row],[Resolution_Time_Min]]&lt;=15,"Very Fast",Table1[[#This Row],[Resolution_Time_Min]]&lt;=30,"Fast",Table1[[#This Row],[Resolution_Time_Min]]&lt;=60,"Moderate",TRUE,"Slow")</f>
        <v>Moderate</v>
      </c>
      <c r="R99" t="str" cm="1">
        <f t="array" ref="R99">_xlfn.IFS(Table1[[#This Row],[CSAT_Score]]&gt;=4,"Satisfied",Table1[[#This Row],[CSAT_Score]]=3,"Neutral",TRUE,"Dissatisfied")</f>
        <v>Satisfied</v>
      </c>
      <c r="S99">
        <f>IF(Table1[[#This Row],[Reopen_Flag]]="Yes",1,0)</f>
        <v>0</v>
      </c>
      <c r="T99">
        <f>IF(Table1[[#This Row],[SLA_Status]]="Met",1,0)</f>
        <v>1</v>
      </c>
      <c r="U99">
        <f>IF(Table1[[#This Row],[SLA_Status]]="Met",Table1[[#This Row],[CSAT_Score]]*1,Table1[[#This Row],[CSAT_Score]]*0.5)</f>
        <v>4</v>
      </c>
      <c r="V99" t="str">
        <f>TEXT(Table1[[#This Row],[Ticket_Date]],"yyyy-mmm")</f>
        <v>2024-Feb</v>
      </c>
    </row>
    <row r="100" spans="1:22" x14ac:dyDescent="0.3">
      <c r="A100" t="s">
        <v>136</v>
      </c>
      <c r="B100" s="1">
        <v>45324</v>
      </c>
      <c r="C100" t="s">
        <v>29</v>
      </c>
      <c r="D100" t="s">
        <v>30</v>
      </c>
      <c r="E100" t="s">
        <v>16</v>
      </c>
      <c r="F100" t="s">
        <v>17</v>
      </c>
      <c r="G100" t="s">
        <v>18</v>
      </c>
      <c r="H100" t="s">
        <v>19</v>
      </c>
      <c r="I100" s="2">
        <v>0.44444444444444442</v>
      </c>
      <c r="J100" s="2">
        <v>0.4826388888888889</v>
      </c>
      <c r="K100">
        <v>30</v>
      </c>
      <c r="L100">
        <v>3</v>
      </c>
      <c r="M100" t="s">
        <v>20</v>
      </c>
      <c r="N100" s="3">
        <f>(Table1[[#This Row],[Close_Time]]-Table1[[#This Row],[Open_Time]])*1440</f>
        <v>55.000000000000043</v>
      </c>
      <c r="O100" t="str">
        <f>IF(Table1[[#This Row],[Resolution_Time_Min]]&lt;=Table1[[#This Row],[SLA_Target_Min]],"Met","Breached")</f>
        <v>Breached</v>
      </c>
      <c r="P100">
        <f>IF(Table1[[#This Row],[SLA_Status]]="Breached",1,0)</f>
        <v>1</v>
      </c>
      <c r="Q100" t="str" cm="1">
        <f t="array" ref="Q100">_xlfn.IFS(Table1[[#This Row],[Resolution_Time_Min]]&lt;=15,"Very Fast",Table1[[#This Row],[Resolution_Time_Min]]&lt;=30,"Fast",Table1[[#This Row],[Resolution_Time_Min]]&lt;=60,"Moderate",TRUE,"Slow")</f>
        <v>Moderate</v>
      </c>
      <c r="R100" t="str" cm="1">
        <f t="array" ref="R100">_xlfn.IFS(Table1[[#This Row],[CSAT_Score]]&gt;=4,"Satisfied",Table1[[#This Row],[CSAT_Score]]=3,"Neutral",TRUE,"Dissatisfied")</f>
        <v>Neutral</v>
      </c>
      <c r="S100">
        <f>IF(Table1[[#This Row],[Reopen_Flag]]="Yes",1,0)</f>
        <v>0</v>
      </c>
      <c r="T100">
        <f>IF(Table1[[#This Row],[SLA_Status]]="Met",1,0)</f>
        <v>0</v>
      </c>
      <c r="U100">
        <f>IF(Table1[[#This Row],[SLA_Status]]="Met",Table1[[#This Row],[CSAT_Score]]*1,Table1[[#This Row],[CSAT_Score]]*0.5)</f>
        <v>1.5</v>
      </c>
      <c r="V100" t="str">
        <f>TEXT(Table1[[#This Row],[Ticket_Date]],"yyyy-mmm")</f>
        <v>2024-Feb</v>
      </c>
    </row>
    <row r="101" spans="1:22" x14ac:dyDescent="0.3">
      <c r="A101" t="s">
        <v>137</v>
      </c>
      <c r="B101" s="1">
        <v>45324</v>
      </c>
      <c r="C101" t="s">
        <v>34</v>
      </c>
      <c r="D101" t="s">
        <v>35</v>
      </c>
      <c r="E101" t="s">
        <v>36</v>
      </c>
      <c r="F101" t="s">
        <v>17</v>
      </c>
      <c r="G101" t="s">
        <v>26</v>
      </c>
      <c r="H101" t="s">
        <v>19</v>
      </c>
      <c r="I101" s="2">
        <v>0.50347222222222221</v>
      </c>
      <c r="J101" s="2">
        <v>0.54166666666666663</v>
      </c>
      <c r="K101">
        <v>30</v>
      </c>
      <c r="L101">
        <v>2</v>
      </c>
      <c r="M101" t="s">
        <v>37</v>
      </c>
      <c r="N101" s="3">
        <f>(Table1[[#This Row],[Close_Time]]-Table1[[#This Row],[Open_Time]])*1440</f>
        <v>54.999999999999964</v>
      </c>
      <c r="O101" t="str">
        <f>IF(Table1[[#This Row],[Resolution_Time_Min]]&lt;=Table1[[#This Row],[SLA_Target_Min]],"Met","Breached")</f>
        <v>Breached</v>
      </c>
      <c r="P101">
        <f>IF(Table1[[#This Row],[SLA_Status]]="Breached",1,0)</f>
        <v>1</v>
      </c>
      <c r="Q101" t="str" cm="1">
        <f t="array" ref="Q101">_xlfn.IFS(Table1[[#This Row],[Resolution_Time_Min]]&lt;=15,"Very Fast",Table1[[#This Row],[Resolution_Time_Min]]&lt;=30,"Fast",Table1[[#This Row],[Resolution_Time_Min]]&lt;=60,"Moderate",TRUE,"Slow")</f>
        <v>Moderate</v>
      </c>
      <c r="R101" t="str" cm="1">
        <f t="array" ref="R101">_xlfn.IFS(Table1[[#This Row],[CSAT_Score]]&gt;=4,"Satisfied",Table1[[#This Row],[CSAT_Score]]=3,"Neutral",TRUE,"Dissatisfied")</f>
        <v>Dissatisfied</v>
      </c>
      <c r="S101">
        <f>IF(Table1[[#This Row],[Reopen_Flag]]="Yes",1,0)</f>
        <v>1</v>
      </c>
      <c r="T101">
        <f>IF(Table1[[#This Row],[SLA_Status]]="Met",1,0)</f>
        <v>0</v>
      </c>
      <c r="U101">
        <f>IF(Table1[[#This Row],[SLA_Status]]="Met",Table1[[#This Row],[CSAT_Score]]*1,Table1[[#This Row],[CSAT_Score]]*0.5)</f>
        <v>1</v>
      </c>
      <c r="V101" t="str">
        <f>TEXT(Table1[[#This Row],[Ticket_Date]],"yyyy-mmm")</f>
        <v>2024-Feb</v>
      </c>
    </row>
    <row r="102" spans="1:22" x14ac:dyDescent="0.3">
      <c r="A102" t="s">
        <v>138</v>
      </c>
      <c r="B102" s="1">
        <v>45325</v>
      </c>
      <c r="C102" t="s">
        <v>44</v>
      </c>
      <c r="D102" t="s">
        <v>45</v>
      </c>
      <c r="E102" t="s">
        <v>16</v>
      </c>
      <c r="F102" t="s">
        <v>31</v>
      </c>
      <c r="G102" t="s">
        <v>18</v>
      </c>
      <c r="H102" t="s">
        <v>32</v>
      </c>
      <c r="I102" s="2">
        <v>0.38194444444444442</v>
      </c>
      <c r="J102" s="2">
        <v>0.4201388888888889</v>
      </c>
      <c r="K102">
        <v>60</v>
      </c>
      <c r="L102">
        <v>5</v>
      </c>
      <c r="M102" t="s">
        <v>20</v>
      </c>
      <c r="N102" s="3">
        <f>(Table1[[#This Row],[Close_Time]]-Table1[[#This Row],[Open_Time]])*1440</f>
        <v>55.000000000000043</v>
      </c>
      <c r="O102" t="str">
        <f>IF(Table1[[#This Row],[Resolution_Time_Min]]&lt;=Table1[[#This Row],[SLA_Target_Min]],"Met","Breached")</f>
        <v>Met</v>
      </c>
      <c r="P102">
        <f>IF(Table1[[#This Row],[SLA_Status]]="Breached",1,0)</f>
        <v>0</v>
      </c>
      <c r="Q102" t="str" cm="1">
        <f t="array" ref="Q102">_xlfn.IFS(Table1[[#This Row],[Resolution_Time_Min]]&lt;=15,"Very Fast",Table1[[#This Row],[Resolution_Time_Min]]&lt;=30,"Fast",Table1[[#This Row],[Resolution_Time_Min]]&lt;=60,"Moderate",TRUE,"Slow")</f>
        <v>Moderate</v>
      </c>
      <c r="R102" t="str" cm="1">
        <f t="array" ref="R102">_xlfn.IFS(Table1[[#This Row],[CSAT_Score]]&gt;=4,"Satisfied",Table1[[#This Row],[CSAT_Score]]=3,"Neutral",TRUE,"Dissatisfied")</f>
        <v>Satisfied</v>
      </c>
      <c r="S102">
        <f>IF(Table1[[#This Row],[Reopen_Flag]]="Yes",1,0)</f>
        <v>0</v>
      </c>
      <c r="T102">
        <f>IF(Table1[[#This Row],[SLA_Status]]="Met",1,0)</f>
        <v>1</v>
      </c>
      <c r="U102">
        <f>IF(Table1[[#This Row],[SLA_Status]]="Met",Table1[[#This Row],[CSAT_Score]]*1,Table1[[#This Row],[CSAT_Score]]*0.5)</f>
        <v>5</v>
      </c>
      <c r="V102" t="str">
        <f>TEXT(Table1[[#This Row],[Ticket_Date]],"yyyy-mmm")</f>
        <v>2024-Feb</v>
      </c>
    </row>
    <row r="103" spans="1:22" x14ac:dyDescent="0.3">
      <c r="A103" t="s">
        <v>139</v>
      </c>
      <c r="B103" s="1">
        <v>45325</v>
      </c>
      <c r="C103" t="s">
        <v>29</v>
      </c>
      <c r="D103" t="s">
        <v>30</v>
      </c>
      <c r="E103" t="s">
        <v>16</v>
      </c>
      <c r="F103" t="s">
        <v>17</v>
      </c>
      <c r="G103" t="s">
        <v>18</v>
      </c>
      <c r="H103" t="s">
        <v>27</v>
      </c>
      <c r="I103" s="2">
        <v>0.44097222222222221</v>
      </c>
      <c r="J103" s="2">
        <v>0.47222222222222221</v>
      </c>
      <c r="K103">
        <v>40</v>
      </c>
      <c r="L103">
        <v>4</v>
      </c>
      <c r="M103" t="s">
        <v>20</v>
      </c>
      <c r="N103" s="3">
        <f>(Table1[[#This Row],[Close_Time]]-Table1[[#This Row],[Open_Time]])*1440</f>
        <v>45</v>
      </c>
      <c r="O103" t="str">
        <f>IF(Table1[[#This Row],[Resolution_Time_Min]]&lt;=Table1[[#This Row],[SLA_Target_Min]],"Met","Breached")</f>
        <v>Breached</v>
      </c>
      <c r="P103">
        <f>IF(Table1[[#This Row],[SLA_Status]]="Breached",1,0)</f>
        <v>1</v>
      </c>
      <c r="Q103" t="str" cm="1">
        <f t="array" ref="Q103">_xlfn.IFS(Table1[[#This Row],[Resolution_Time_Min]]&lt;=15,"Very Fast",Table1[[#This Row],[Resolution_Time_Min]]&lt;=30,"Fast",Table1[[#This Row],[Resolution_Time_Min]]&lt;=60,"Moderate",TRUE,"Slow")</f>
        <v>Moderate</v>
      </c>
      <c r="R103" t="str" cm="1">
        <f t="array" ref="R103">_xlfn.IFS(Table1[[#This Row],[CSAT_Score]]&gt;=4,"Satisfied",Table1[[#This Row],[CSAT_Score]]=3,"Neutral",TRUE,"Dissatisfied")</f>
        <v>Satisfied</v>
      </c>
      <c r="S103">
        <f>IF(Table1[[#This Row],[Reopen_Flag]]="Yes",1,0)</f>
        <v>0</v>
      </c>
      <c r="T103">
        <f>IF(Table1[[#This Row],[SLA_Status]]="Met",1,0)</f>
        <v>0</v>
      </c>
      <c r="U103">
        <f>IF(Table1[[#This Row],[SLA_Status]]="Met",Table1[[#This Row],[CSAT_Score]]*1,Table1[[#This Row],[CSAT_Score]]*0.5)</f>
        <v>2</v>
      </c>
      <c r="V103" t="str">
        <f>TEXT(Table1[[#This Row],[Ticket_Date]],"yyyy-mmm")</f>
        <v>2024-Feb</v>
      </c>
    </row>
    <row r="104" spans="1:22" x14ac:dyDescent="0.3">
      <c r="A104" t="s">
        <v>140</v>
      </c>
      <c r="B104" s="1">
        <v>45325</v>
      </c>
      <c r="C104" t="s">
        <v>34</v>
      </c>
      <c r="D104" t="s">
        <v>35</v>
      </c>
      <c r="E104" t="s">
        <v>36</v>
      </c>
      <c r="F104" t="s">
        <v>17</v>
      </c>
      <c r="G104" t="s">
        <v>26</v>
      </c>
      <c r="H104" t="s">
        <v>19</v>
      </c>
      <c r="I104" s="2">
        <v>0.50347222222222221</v>
      </c>
      <c r="J104" s="2">
        <v>0.54166666666666663</v>
      </c>
      <c r="K104">
        <v>30</v>
      </c>
      <c r="L104">
        <v>2</v>
      </c>
      <c r="M104" t="s">
        <v>37</v>
      </c>
      <c r="N104" s="3">
        <f>(Table1[[#This Row],[Close_Time]]-Table1[[#This Row],[Open_Time]])*1440</f>
        <v>54.999999999999964</v>
      </c>
      <c r="O104" t="str">
        <f>IF(Table1[[#This Row],[Resolution_Time_Min]]&lt;=Table1[[#This Row],[SLA_Target_Min]],"Met","Breached")</f>
        <v>Breached</v>
      </c>
      <c r="P104">
        <f>IF(Table1[[#This Row],[SLA_Status]]="Breached",1,0)</f>
        <v>1</v>
      </c>
      <c r="Q104" t="str" cm="1">
        <f t="array" ref="Q104">_xlfn.IFS(Table1[[#This Row],[Resolution_Time_Min]]&lt;=15,"Very Fast",Table1[[#This Row],[Resolution_Time_Min]]&lt;=30,"Fast",Table1[[#This Row],[Resolution_Time_Min]]&lt;=60,"Moderate",TRUE,"Slow")</f>
        <v>Moderate</v>
      </c>
      <c r="R104" t="str" cm="1">
        <f t="array" ref="R104">_xlfn.IFS(Table1[[#This Row],[CSAT_Score]]&gt;=4,"Satisfied",Table1[[#This Row],[CSAT_Score]]=3,"Neutral",TRUE,"Dissatisfied")</f>
        <v>Dissatisfied</v>
      </c>
      <c r="S104">
        <f>IF(Table1[[#This Row],[Reopen_Flag]]="Yes",1,0)</f>
        <v>1</v>
      </c>
      <c r="T104">
        <f>IF(Table1[[#This Row],[SLA_Status]]="Met",1,0)</f>
        <v>0</v>
      </c>
      <c r="U104">
        <f>IF(Table1[[#This Row],[SLA_Status]]="Met",Table1[[#This Row],[CSAT_Score]]*1,Table1[[#This Row],[CSAT_Score]]*0.5)</f>
        <v>1</v>
      </c>
      <c r="V104" t="str">
        <f>TEXT(Table1[[#This Row],[Ticket_Date]],"yyyy-mmm")</f>
        <v>2024-Feb</v>
      </c>
    </row>
    <row r="105" spans="1:22" x14ac:dyDescent="0.3">
      <c r="A105" t="s">
        <v>141</v>
      </c>
      <c r="B105" s="1">
        <v>45326</v>
      </c>
      <c r="C105" t="s">
        <v>14</v>
      </c>
      <c r="D105" t="s">
        <v>15</v>
      </c>
      <c r="E105" t="s">
        <v>16</v>
      </c>
      <c r="F105" t="s">
        <v>25</v>
      </c>
      <c r="G105" t="s">
        <v>18</v>
      </c>
      <c r="H105" t="s">
        <v>27</v>
      </c>
      <c r="I105" s="2">
        <v>0.3888888888888889</v>
      </c>
      <c r="J105" s="2">
        <v>0.41666666666666669</v>
      </c>
      <c r="K105">
        <v>40</v>
      </c>
      <c r="L105">
        <v>4</v>
      </c>
      <c r="M105" t="s">
        <v>20</v>
      </c>
      <c r="N105" s="3">
        <f>(Table1[[#This Row],[Close_Time]]-Table1[[#This Row],[Open_Time]])*1440</f>
        <v>40.000000000000014</v>
      </c>
      <c r="O105" t="str">
        <f>IF(Table1[[#This Row],[Resolution_Time_Min]]&lt;=Table1[[#This Row],[SLA_Target_Min]],"Met","Breached")</f>
        <v>Met</v>
      </c>
      <c r="P105">
        <f>IF(Table1[[#This Row],[SLA_Status]]="Breached",1,0)</f>
        <v>0</v>
      </c>
      <c r="Q105" t="str" cm="1">
        <f t="array" ref="Q105">_xlfn.IFS(Table1[[#This Row],[Resolution_Time_Min]]&lt;=15,"Very Fast",Table1[[#This Row],[Resolution_Time_Min]]&lt;=30,"Fast",Table1[[#This Row],[Resolution_Time_Min]]&lt;=60,"Moderate",TRUE,"Slow")</f>
        <v>Moderate</v>
      </c>
      <c r="R105" t="str" cm="1">
        <f t="array" ref="R105">_xlfn.IFS(Table1[[#This Row],[CSAT_Score]]&gt;=4,"Satisfied",Table1[[#This Row],[CSAT_Score]]=3,"Neutral",TRUE,"Dissatisfied")</f>
        <v>Satisfied</v>
      </c>
      <c r="S105">
        <f>IF(Table1[[#This Row],[Reopen_Flag]]="Yes",1,0)</f>
        <v>0</v>
      </c>
      <c r="T105">
        <f>IF(Table1[[#This Row],[SLA_Status]]="Met",1,0)</f>
        <v>1</v>
      </c>
      <c r="U105">
        <f>IF(Table1[[#This Row],[SLA_Status]]="Met",Table1[[#This Row],[CSAT_Score]]*1,Table1[[#This Row],[CSAT_Score]]*0.5)</f>
        <v>4</v>
      </c>
      <c r="V105" t="str">
        <f>TEXT(Table1[[#This Row],[Ticket_Date]],"yyyy-mmm")</f>
        <v>2024-Feb</v>
      </c>
    </row>
    <row r="106" spans="1:22" x14ac:dyDescent="0.3">
      <c r="A106" t="s">
        <v>142</v>
      </c>
      <c r="B106" s="1">
        <v>45326</v>
      </c>
      <c r="C106" t="s">
        <v>22</v>
      </c>
      <c r="D106" t="s">
        <v>23</v>
      </c>
      <c r="E106" t="s">
        <v>24</v>
      </c>
      <c r="F106" t="s">
        <v>31</v>
      </c>
      <c r="G106" t="s">
        <v>18</v>
      </c>
      <c r="H106" t="s">
        <v>32</v>
      </c>
      <c r="I106" s="2">
        <v>0.4375</v>
      </c>
      <c r="J106" s="2">
        <v>0.47569444444444442</v>
      </c>
      <c r="K106">
        <v>60</v>
      </c>
      <c r="L106">
        <v>5</v>
      </c>
      <c r="M106" t="s">
        <v>20</v>
      </c>
      <c r="N106" s="3">
        <f>(Table1[[#This Row],[Close_Time]]-Table1[[#This Row],[Open_Time]])*1440</f>
        <v>54.999999999999964</v>
      </c>
      <c r="O106" t="str">
        <f>IF(Table1[[#This Row],[Resolution_Time_Min]]&lt;=Table1[[#This Row],[SLA_Target_Min]],"Met","Breached")</f>
        <v>Met</v>
      </c>
      <c r="P106">
        <f>IF(Table1[[#This Row],[SLA_Status]]="Breached",1,0)</f>
        <v>0</v>
      </c>
      <c r="Q106" t="str" cm="1">
        <f t="array" ref="Q106">_xlfn.IFS(Table1[[#This Row],[Resolution_Time_Min]]&lt;=15,"Very Fast",Table1[[#This Row],[Resolution_Time_Min]]&lt;=30,"Fast",Table1[[#This Row],[Resolution_Time_Min]]&lt;=60,"Moderate",TRUE,"Slow")</f>
        <v>Moderate</v>
      </c>
      <c r="R106" t="str" cm="1">
        <f t="array" ref="R106">_xlfn.IFS(Table1[[#This Row],[CSAT_Score]]&gt;=4,"Satisfied",Table1[[#This Row],[CSAT_Score]]=3,"Neutral",TRUE,"Dissatisfied")</f>
        <v>Satisfied</v>
      </c>
      <c r="S106">
        <f>IF(Table1[[#This Row],[Reopen_Flag]]="Yes",1,0)</f>
        <v>0</v>
      </c>
      <c r="T106">
        <f>IF(Table1[[#This Row],[SLA_Status]]="Met",1,0)</f>
        <v>1</v>
      </c>
      <c r="U106">
        <f>IF(Table1[[#This Row],[SLA_Status]]="Met",Table1[[#This Row],[CSAT_Score]]*1,Table1[[#This Row],[CSAT_Score]]*0.5)</f>
        <v>5</v>
      </c>
      <c r="V106" t="str">
        <f>TEXT(Table1[[#This Row],[Ticket_Date]],"yyyy-mmm")</f>
        <v>2024-Feb</v>
      </c>
    </row>
    <row r="107" spans="1:22" x14ac:dyDescent="0.3">
      <c r="A107" t="s">
        <v>143</v>
      </c>
      <c r="B107" s="1">
        <v>45326</v>
      </c>
      <c r="C107" t="s">
        <v>41</v>
      </c>
      <c r="D107" t="s">
        <v>42</v>
      </c>
      <c r="E107" t="s">
        <v>36</v>
      </c>
      <c r="F107" t="s">
        <v>17</v>
      </c>
      <c r="G107" t="s">
        <v>26</v>
      </c>
      <c r="H107" t="s">
        <v>27</v>
      </c>
      <c r="I107" s="2">
        <v>0.51041666666666663</v>
      </c>
      <c r="J107" s="2">
        <v>0.53819444444444442</v>
      </c>
      <c r="K107">
        <v>40</v>
      </c>
      <c r="L107">
        <v>3</v>
      </c>
      <c r="M107" t="s">
        <v>20</v>
      </c>
      <c r="N107" s="3">
        <f>(Table1[[#This Row],[Close_Time]]-Table1[[#This Row],[Open_Time]])*1440</f>
        <v>40.000000000000014</v>
      </c>
      <c r="O107" t="str">
        <f>IF(Table1[[#This Row],[Resolution_Time_Min]]&lt;=Table1[[#This Row],[SLA_Target_Min]],"Met","Breached")</f>
        <v>Met</v>
      </c>
      <c r="P107">
        <f>IF(Table1[[#This Row],[SLA_Status]]="Breached",1,0)</f>
        <v>0</v>
      </c>
      <c r="Q107" t="str" cm="1">
        <f t="array" ref="Q107">_xlfn.IFS(Table1[[#This Row],[Resolution_Time_Min]]&lt;=15,"Very Fast",Table1[[#This Row],[Resolution_Time_Min]]&lt;=30,"Fast",Table1[[#This Row],[Resolution_Time_Min]]&lt;=60,"Moderate",TRUE,"Slow")</f>
        <v>Moderate</v>
      </c>
      <c r="R107" t="str" cm="1">
        <f t="array" ref="R107">_xlfn.IFS(Table1[[#This Row],[CSAT_Score]]&gt;=4,"Satisfied",Table1[[#This Row],[CSAT_Score]]=3,"Neutral",TRUE,"Dissatisfied")</f>
        <v>Neutral</v>
      </c>
      <c r="S107">
        <f>IF(Table1[[#This Row],[Reopen_Flag]]="Yes",1,0)</f>
        <v>0</v>
      </c>
      <c r="T107">
        <f>IF(Table1[[#This Row],[SLA_Status]]="Met",1,0)</f>
        <v>1</v>
      </c>
      <c r="U107">
        <f>IF(Table1[[#This Row],[SLA_Status]]="Met",Table1[[#This Row],[CSAT_Score]]*1,Table1[[#This Row],[CSAT_Score]]*0.5)</f>
        <v>3</v>
      </c>
      <c r="V107" t="str">
        <f>TEXT(Table1[[#This Row],[Ticket_Date]],"yyyy-mmm")</f>
        <v>2024-Feb</v>
      </c>
    </row>
    <row r="108" spans="1:22" x14ac:dyDescent="0.3">
      <c r="A108" t="s">
        <v>144</v>
      </c>
      <c r="B108" s="1">
        <v>45327</v>
      </c>
      <c r="C108" t="s">
        <v>44</v>
      </c>
      <c r="D108" t="s">
        <v>45</v>
      </c>
      <c r="E108" t="s">
        <v>16</v>
      </c>
      <c r="F108" t="s">
        <v>17</v>
      </c>
      <c r="G108" t="s">
        <v>18</v>
      </c>
      <c r="H108" t="s">
        <v>19</v>
      </c>
      <c r="I108" s="2">
        <v>0.37847222222222221</v>
      </c>
      <c r="J108" s="2">
        <v>0.41666666666666669</v>
      </c>
      <c r="K108">
        <v>30</v>
      </c>
      <c r="L108">
        <v>2</v>
      </c>
      <c r="M108" t="s">
        <v>37</v>
      </c>
      <c r="N108" s="3">
        <f>(Table1[[#This Row],[Close_Time]]-Table1[[#This Row],[Open_Time]])*1440</f>
        <v>55.000000000000043</v>
      </c>
      <c r="O108" t="str">
        <f>IF(Table1[[#This Row],[Resolution_Time_Min]]&lt;=Table1[[#This Row],[SLA_Target_Min]],"Met","Breached")</f>
        <v>Breached</v>
      </c>
      <c r="P108">
        <f>IF(Table1[[#This Row],[SLA_Status]]="Breached",1,0)</f>
        <v>1</v>
      </c>
      <c r="Q108" t="str" cm="1">
        <f t="array" ref="Q108">_xlfn.IFS(Table1[[#This Row],[Resolution_Time_Min]]&lt;=15,"Very Fast",Table1[[#This Row],[Resolution_Time_Min]]&lt;=30,"Fast",Table1[[#This Row],[Resolution_Time_Min]]&lt;=60,"Moderate",TRUE,"Slow")</f>
        <v>Moderate</v>
      </c>
      <c r="R108" t="str" cm="1">
        <f t="array" ref="R108">_xlfn.IFS(Table1[[#This Row],[CSAT_Score]]&gt;=4,"Satisfied",Table1[[#This Row],[CSAT_Score]]=3,"Neutral",TRUE,"Dissatisfied")</f>
        <v>Dissatisfied</v>
      </c>
      <c r="S108">
        <f>IF(Table1[[#This Row],[Reopen_Flag]]="Yes",1,0)</f>
        <v>1</v>
      </c>
      <c r="T108">
        <f>IF(Table1[[#This Row],[SLA_Status]]="Met",1,0)</f>
        <v>0</v>
      </c>
      <c r="U108">
        <f>IF(Table1[[#This Row],[SLA_Status]]="Met",Table1[[#This Row],[CSAT_Score]]*1,Table1[[#This Row],[CSAT_Score]]*0.5)</f>
        <v>1</v>
      </c>
      <c r="V108" t="str">
        <f>TEXT(Table1[[#This Row],[Ticket_Date]],"yyyy-mmm")</f>
        <v>2024-Feb</v>
      </c>
    </row>
    <row r="109" spans="1:22" x14ac:dyDescent="0.3">
      <c r="A109" t="s">
        <v>145</v>
      </c>
      <c r="B109" s="1">
        <v>45327</v>
      </c>
      <c r="C109" t="s">
        <v>29</v>
      </c>
      <c r="D109" t="s">
        <v>30</v>
      </c>
      <c r="E109" t="s">
        <v>16</v>
      </c>
      <c r="F109" t="s">
        <v>31</v>
      </c>
      <c r="G109" t="s">
        <v>18</v>
      </c>
      <c r="H109" t="s">
        <v>32</v>
      </c>
      <c r="I109" s="2">
        <v>0.43402777777777779</v>
      </c>
      <c r="J109" s="2">
        <v>0.47222222222222221</v>
      </c>
      <c r="K109">
        <v>60</v>
      </c>
      <c r="L109">
        <v>5</v>
      </c>
      <c r="M109" t="s">
        <v>20</v>
      </c>
      <c r="N109" s="3">
        <f>(Table1[[#This Row],[Close_Time]]-Table1[[#This Row],[Open_Time]])*1440</f>
        <v>54.999999999999964</v>
      </c>
      <c r="O109" t="str">
        <f>IF(Table1[[#This Row],[Resolution_Time_Min]]&lt;=Table1[[#This Row],[SLA_Target_Min]],"Met","Breached")</f>
        <v>Met</v>
      </c>
      <c r="P109">
        <f>IF(Table1[[#This Row],[SLA_Status]]="Breached",1,0)</f>
        <v>0</v>
      </c>
      <c r="Q109" t="str" cm="1">
        <f t="array" ref="Q109">_xlfn.IFS(Table1[[#This Row],[Resolution_Time_Min]]&lt;=15,"Very Fast",Table1[[#This Row],[Resolution_Time_Min]]&lt;=30,"Fast",Table1[[#This Row],[Resolution_Time_Min]]&lt;=60,"Moderate",TRUE,"Slow")</f>
        <v>Moderate</v>
      </c>
      <c r="R109" t="str" cm="1">
        <f t="array" ref="R109">_xlfn.IFS(Table1[[#This Row],[CSAT_Score]]&gt;=4,"Satisfied",Table1[[#This Row],[CSAT_Score]]=3,"Neutral",TRUE,"Dissatisfied")</f>
        <v>Satisfied</v>
      </c>
      <c r="S109">
        <f>IF(Table1[[#This Row],[Reopen_Flag]]="Yes",1,0)</f>
        <v>0</v>
      </c>
      <c r="T109">
        <f>IF(Table1[[#This Row],[SLA_Status]]="Met",1,0)</f>
        <v>1</v>
      </c>
      <c r="U109">
        <f>IF(Table1[[#This Row],[SLA_Status]]="Met",Table1[[#This Row],[CSAT_Score]]*1,Table1[[#This Row],[CSAT_Score]]*0.5)</f>
        <v>5</v>
      </c>
      <c r="V109" t="str">
        <f>TEXT(Table1[[#This Row],[Ticket_Date]],"yyyy-mmm")</f>
        <v>2024-Feb</v>
      </c>
    </row>
    <row r="110" spans="1:22" x14ac:dyDescent="0.3">
      <c r="A110" t="s">
        <v>146</v>
      </c>
      <c r="B110" s="1">
        <v>45327</v>
      </c>
      <c r="C110" t="s">
        <v>34</v>
      </c>
      <c r="D110" t="s">
        <v>35</v>
      </c>
      <c r="E110" t="s">
        <v>36</v>
      </c>
      <c r="F110" t="s">
        <v>25</v>
      </c>
      <c r="G110" t="s">
        <v>26</v>
      </c>
      <c r="H110" t="s">
        <v>27</v>
      </c>
      <c r="I110" s="2">
        <v>0.50347222222222221</v>
      </c>
      <c r="J110" s="2">
        <v>0.53125</v>
      </c>
      <c r="K110">
        <v>40</v>
      </c>
      <c r="L110">
        <v>4</v>
      </c>
      <c r="M110" t="s">
        <v>20</v>
      </c>
      <c r="N110" s="3">
        <f>(Table1[[#This Row],[Close_Time]]-Table1[[#This Row],[Open_Time]])*1440</f>
        <v>40.000000000000014</v>
      </c>
      <c r="O110" t="str">
        <f>IF(Table1[[#This Row],[Resolution_Time_Min]]&lt;=Table1[[#This Row],[SLA_Target_Min]],"Met","Breached")</f>
        <v>Met</v>
      </c>
      <c r="P110">
        <f>IF(Table1[[#This Row],[SLA_Status]]="Breached",1,0)</f>
        <v>0</v>
      </c>
      <c r="Q110" t="str" cm="1">
        <f t="array" ref="Q110">_xlfn.IFS(Table1[[#This Row],[Resolution_Time_Min]]&lt;=15,"Very Fast",Table1[[#This Row],[Resolution_Time_Min]]&lt;=30,"Fast",Table1[[#This Row],[Resolution_Time_Min]]&lt;=60,"Moderate",TRUE,"Slow")</f>
        <v>Moderate</v>
      </c>
      <c r="R110" t="str" cm="1">
        <f t="array" ref="R110">_xlfn.IFS(Table1[[#This Row],[CSAT_Score]]&gt;=4,"Satisfied",Table1[[#This Row],[CSAT_Score]]=3,"Neutral",TRUE,"Dissatisfied")</f>
        <v>Satisfied</v>
      </c>
      <c r="S110">
        <f>IF(Table1[[#This Row],[Reopen_Flag]]="Yes",1,0)</f>
        <v>0</v>
      </c>
      <c r="T110">
        <f>IF(Table1[[#This Row],[SLA_Status]]="Met",1,0)</f>
        <v>1</v>
      </c>
      <c r="U110">
        <f>IF(Table1[[#This Row],[SLA_Status]]="Met",Table1[[#This Row],[CSAT_Score]]*1,Table1[[#This Row],[CSAT_Score]]*0.5)</f>
        <v>4</v>
      </c>
      <c r="V110" t="str">
        <f>TEXT(Table1[[#This Row],[Ticket_Date]],"yyyy-mmm")</f>
        <v>2024-Feb</v>
      </c>
    </row>
    <row r="111" spans="1:22" x14ac:dyDescent="0.3">
      <c r="A111" t="s">
        <v>147</v>
      </c>
      <c r="B111" s="1">
        <v>45328</v>
      </c>
      <c r="C111" t="s">
        <v>14</v>
      </c>
      <c r="D111" t="s">
        <v>15</v>
      </c>
      <c r="E111" t="s">
        <v>16</v>
      </c>
      <c r="F111" t="s">
        <v>17</v>
      </c>
      <c r="G111" t="s">
        <v>18</v>
      </c>
      <c r="H111" t="s">
        <v>27</v>
      </c>
      <c r="I111" s="2">
        <v>0.38541666666666669</v>
      </c>
      <c r="J111" s="2">
        <v>0.41319444444444442</v>
      </c>
      <c r="K111">
        <v>40</v>
      </c>
      <c r="L111">
        <v>4</v>
      </c>
      <c r="M111" t="s">
        <v>20</v>
      </c>
      <c r="N111" s="3">
        <f>(Table1[[#This Row],[Close_Time]]-Table1[[#This Row],[Open_Time]])*1440</f>
        <v>39.999999999999936</v>
      </c>
      <c r="O111" t="str">
        <f>IF(Table1[[#This Row],[Resolution_Time_Min]]&lt;=Table1[[#This Row],[SLA_Target_Min]],"Met","Breached")</f>
        <v>Met</v>
      </c>
      <c r="P111">
        <f>IF(Table1[[#This Row],[SLA_Status]]="Breached",1,0)</f>
        <v>0</v>
      </c>
      <c r="Q111" t="str" cm="1">
        <f t="array" ref="Q111">_xlfn.IFS(Table1[[#This Row],[Resolution_Time_Min]]&lt;=15,"Very Fast",Table1[[#This Row],[Resolution_Time_Min]]&lt;=30,"Fast",Table1[[#This Row],[Resolution_Time_Min]]&lt;=60,"Moderate",TRUE,"Slow")</f>
        <v>Moderate</v>
      </c>
      <c r="R111" t="str" cm="1">
        <f t="array" ref="R111">_xlfn.IFS(Table1[[#This Row],[CSAT_Score]]&gt;=4,"Satisfied",Table1[[#This Row],[CSAT_Score]]=3,"Neutral",TRUE,"Dissatisfied")</f>
        <v>Satisfied</v>
      </c>
      <c r="S111">
        <f>IF(Table1[[#This Row],[Reopen_Flag]]="Yes",1,0)</f>
        <v>0</v>
      </c>
      <c r="T111">
        <f>IF(Table1[[#This Row],[SLA_Status]]="Met",1,0)</f>
        <v>1</v>
      </c>
      <c r="U111">
        <f>IF(Table1[[#This Row],[SLA_Status]]="Met",Table1[[#This Row],[CSAT_Score]]*1,Table1[[#This Row],[CSAT_Score]]*0.5)</f>
        <v>4</v>
      </c>
      <c r="V111" t="str">
        <f>TEXT(Table1[[#This Row],[Ticket_Date]],"yyyy-mmm")</f>
        <v>2024-Feb</v>
      </c>
    </row>
    <row r="112" spans="1:22" x14ac:dyDescent="0.3">
      <c r="A112" t="s">
        <v>148</v>
      </c>
      <c r="B112" s="1">
        <v>45328</v>
      </c>
      <c r="C112" t="s">
        <v>22</v>
      </c>
      <c r="D112" t="s">
        <v>23</v>
      </c>
      <c r="E112" t="s">
        <v>24</v>
      </c>
      <c r="F112" t="s">
        <v>25</v>
      </c>
      <c r="G112" t="s">
        <v>26</v>
      </c>
      <c r="H112" t="s">
        <v>32</v>
      </c>
      <c r="I112" s="2">
        <v>0.44444444444444442</v>
      </c>
      <c r="J112" s="2">
        <v>0.47916666666666669</v>
      </c>
      <c r="K112">
        <v>60</v>
      </c>
      <c r="L112">
        <v>5</v>
      </c>
      <c r="M112" t="s">
        <v>20</v>
      </c>
      <c r="N112" s="3">
        <f>(Table1[[#This Row],[Close_Time]]-Table1[[#This Row],[Open_Time]])*1440</f>
        <v>50.000000000000064</v>
      </c>
      <c r="O112" t="str">
        <f>IF(Table1[[#This Row],[Resolution_Time_Min]]&lt;=Table1[[#This Row],[SLA_Target_Min]],"Met","Breached")</f>
        <v>Met</v>
      </c>
      <c r="P112">
        <f>IF(Table1[[#This Row],[SLA_Status]]="Breached",1,0)</f>
        <v>0</v>
      </c>
      <c r="Q112" t="str" cm="1">
        <f t="array" ref="Q112">_xlfn.IFS(Table1[[#This Row],[Resolution_Time_Min]]&lt;=15,"Very Fast",Table1[[#This Row],[Resolution_Time_Min]]&lt;=30,"Fast",Table1[[#This Row],[Resolution_Time_Min]]&lt;=60,"Moderate",TRUE,"Slow")</f>
        <v>Moderate</v>
      </c>
      <c r="R112" t="str" cm="1">
        <f t="array" ref="R112">_xlfn.IFS(Table1[[#This Row],[CSAT_Score]]&gt;=4,"Satisfied",Table1[[#This Row],[CSAT_Score]]=3,"Neutral",TRUE,"Dissatisfied")</f>
        <v>Satisfied</v>
      </c>
      <c r="S112">
        <f>IF(Table1[[#This Row],[Reopen_Flag]]="Yes",1,0)</f>
        <v>0</v>
      </c>
      <c r="T112">
        <f>IF(Table1[[#This Row],[SLA_Status]]="Met",1,0)</f>
        <v>1</v>
      </c>
      <c r="U112">
        <f>IF(Table1[[#This Row],[SLA_Status]]="Met",Table1[[#This Row],[CSAT_Score]]*1,Table1[[#This Row],[CSAT_Score]]*0.5)</f>
        <v>5</v>
      </c>
      <c r="V112" t="str">
        <f>TEXT(Table1[[#This Row],[Ticket_Date]],"yyyy-mmm")</f>
        <v>2024-Feb</v>
      </c>
    </row>
    <row r="113" spans="1:22" x14ac:dyDescent="0.3">
      <c r="A113" t="s">
        <v>149</v>
      </c>
      <c r="B113" s="1">
        <v>45328</v>
      </c>
      <c r="C113" t="s">
        <v>41</v>
      </c>
      <c r="D113" t="s">
        <v>42</v>
      </c>
      <c r="E113" t="s">
        <v>36</v>
      </c>
      <c r="F113" t="s">
        <v>17</v>
      </c>
      <c r="G113" t="s">
        <v>26</v>
      </c>
      <c r="H113" t="s">
        <v>19</v>
      </c>
      <c r="I113" s="2">
        <v>0.50694444444444442</v>
      </c>
      <c r="J113" s="2">
        <v>0.54513888888888884</v>
      </c>
      <c r="K113">
        <v>30</v>
      </c>
      <c r="L113">
        <v>2</v>
      </c>
      <c r="M113" t="s">
        <v>37</v>
      </c>
      <c r="N113" s="3">
        <f>(Table1[[#This Row],[Close_Time]]-Table1[[#This Row],[Open_Time]])*1440</f>
        <v>54.999999999999964</v>
      </c>
      <c r="O113" t="str">
        <f>IF(Table1[[#This Row],[Resolution_Time_Min]]&lt;=Table1[[#This Row],[SLA_Target_Min]],"Met","Breached")</f>
        <v>Breached</v>
      </c>
      <c r="P113">
        <f>IF(Table1[[#This Row],[SLA_Status]]="Breached",1,0)</f>
        <v>1</v>
      </c>
      <c r="Q113" t="str" cm="1">
        <f t="array" ref="Q113">_xlfn.IFS(Table1[[#This Row],[Resolution_Time_Min]]&lt;=15,"Very Fast",Table1[[#This Row],[Resolution_Time_Min]]&lt;=30,"Fast",Table1[[#This Row],[Resolution_Time_Min]]&lt;=60,"Moderate",TRUE,"Slow")</f>
        <v>Moderate</v>
      </c>
      <c r="R113" t="str" cm="1">
        <f t="array" ref="R113">_xlfn.IFS(Table1[[#This Row],[CSAT_Score]]&gt;=4,"Satisfied",Table1[[#This Row],[CSAT_Score]]=3,"Neutral",TRUE,"Dissatisfied")</f>
        <v>Dissatisfied</v>
      </c>
      <c r="S113">
        <f>IF(Table1[[#This Row],[Reopen_Flag]]="Yes",1,0)</f>
        <v>1</v>
      </c>
      <c r="T113">
        <f>IF(Table1[[#This Row],[SLA_Status]]="Met",1,0)</f>
        <v>0</v>
      </c>
      <c r="U113">
        <f>IF(Table1[[#This Row],[SLA_Status]]="Met",Table1[[#This Row],[CSAT_Score]]*1,Table1[[#This Row],[CSAT_Score]]*0.5)</f>
        <v>1</v>
      </c>
      <c r="V113" t="str">
        <f>TEXT(Table1[[#This Row],[Ticket_Date]],"yyyy-mmm")</f>
        <v>2024-Feb</v>
      </c>
    </row>
    <row r="114" spans="1:22" x14ac:dyDescent="0.3">
      <c r="A114" t="s">
        <v>150</v>
      </c>
      <c r="B114" s="1">
        <v>45329</v>
      </c>
      <c r="C114" t="s">
        <v>44</v>
      </c>
      <c r="D114" t="s">
        <v>45</v>
      </c>
      <c r="E114" t="s">
        <v>16</v>
      </c>
      <c r="F114" t="s">
        <v>25</v>
      </c>
      <c r="G114" t="s">
        <v>18</v>
      </c>
      <c r="H114" t="s">
        <v>27</v>
      </c>
      <c r="I114" s="2">
        <v>0.3923611111111111</v>
      </c>
      <c r="J114" s="2">
        <v>0.4201388888888889</v>
      </c>
      <c r="K114">
        <v>40</v>
      </c>
      <c r="L114">
        <v>4</v>
      </c>
      <c r="M114" t="s">
        <v>20</v>
      </c>
      <c r="N114" s="3">
        <f>(Table1[[#This Row],[Close_Time]]-Table1[[#This Row],[Open_Time]])*1440</f>
        <v>40.000000000000014</v>
      </c>
      <c r="O114" t="str">
        <f>IF(Table1[[#This Row],[Resolution_Time_Min]]&lt;=Table1[[#This Row],[SLA_Target_Min]],"Met","Breached")</f>
        <v>Met</v>
      </c>
      <c r="P114">
        <f>IF(Table1[[#This Row],[SLA_Status]]="Breached",1,0)</f>
        <v>0</v>
      </c>
      <c r="Q114" t="str" cm="1">
        <f t="array" ref="Q114">_xlfn.IFS(Table1[[#This Row],[Resolution_Time_Min]]&lt;=15,"Very Fast",Table1[[#This Row],[Resolution_Time_Min]]&lt;=30,"Fast",Table1[[#This Row],[Resolution_Time_Min]]&lt;=60,"Moderate",TRUE,"Slow")</f>
        <v>Moderate</v>
      </c>
      <c r="R114" t="str" cm="1">
        <f t="array" ref="R114">_xlfn.IFS(Table1[[#This Row],[CSAT_Score]]&gt;=4,"Satisfied",Table1[[#This Row],[CSAT_Score]]=3,"Neutral",TRUE,"Dissatisfied")</f>
        <v>Satisfied</v>
      </c>
      <c r="S114">
        <f>IF(Table1[[#This Row],[Reopen_Flag]]="Yes",1,0)</f>
        <v>0</v>
      </c>
      <c r="T114">
        <f>IF(Table1[[#This Row],[SLA_Status]]="Met",1,0)</f>
        <v>1</v>
      </c>
      <c r="U114">
        <f>IF(Table1[[#This Row],[SLA_Status]]="Met",Table1[[#This Row],[CSAT_Score]]*1,Table1[[#This Row],[CSAT_Score]]*0.5)</f>
        <v>4</v>
      </c>
      <c r="V114" t="str">
        <f>TEXT(Table1[[#This Row],[Ticket_Date]],"yyyy-mmm")</f>
        <v>2024-Feb</v>
      </c>
    </row>
    <row r="115" spans="1:22" x14ac:dyDescent="0.3">
      <c r="A115" t="s">
        <v>151</v>
      </c>
      <c r="B115" s="1">
        <v>45329</v>
      </c>
      <c r="C115" t="s">
        <v>29</v>
      </c>
      <c r="D115" t="s">
        <v>30</v>
      </c>
      <c r="E115" t="s">
        <v>16</v>
      </c>
      <c r="F115" t="s">
        <v>17</v>
      </c>
      <c r="G115" t="s">
        <v>18</v>
      </c>
      <c r="H115" t="s">
        <v>19</v>
      </c>
      <c r="I115" s="2">
        <v>0.44444444444444442</v>
      </c>
      <c r="J115" s="2">
        <v>0.4826388888888889</v>
      </c>
      <c r="K115">
        <v>30</v>
      </c>
      <c r="L115">
        <v>3</v>
      </c>
      <c r="M115" t="s">
        <v>20</v>
      </c>
      <c r="N115" s="3">
        <f>(Table1[[#This Row],[Close_Time]]-Table1[[#This Row],[Open_Time]])*1440</f>
        <v>55.000000000000043</v>
      </c>
      <c r="O115" t="str">
        <f>IF(Table1[[#This Row],[Resolution_Time_Min]]&lt;=Table1[[#This Row],[SLA_Target_Min]],"Met","Breached")</f>
        <v>Breached</v>
      </c>
      <c r="P115">
        <f>IF(Table1[[#This Row],[SLA_Status]]="Breached",1,0)</f>
        <v>1</v>
      </c>
      <c r="Q115" t="str" cm="1">
        <f t="array" ref="Q115">_xlfn.IFS(Table1[[#This Row],[Resolution_Time_Min]]&lt;=15,"Very Fast",Table1[[#This Row],[Resolution_Time_Min]]&lt;=30,"Fast",Table1[[#This Row],[Resolution_Time_Min]]&lt;=60,"Moderate",TRUE,"Slow")</f>
        <v>Moderate</v>
      </c>
      <c r="R115" t="str" cm="1">
        <f t="array" ref="R115">_xlfn.IFS(Table1[[#This Row],[CSAT_Score]]&gt;=4,"Satisfied",Table1[[#This Row],[CSAT_Score]]=3,"Neutral",TRUE,"Dissatisfied")</f>
        <v>Neutral</v>
      </c>
      <c r="S115">
        <f>IF(Table1[[#This Row],[Reopen_Flag]]="Yes",1,0)</f>
        <v>0</v>
      </c>
      <c r="T115">
        <f>IF(Table1[[#This Row],[SLA_Status]]="Met",1,0)</f>
        <v>0</v>
      </c>
      <c r="U115">
        <f>IF(Table1[[#This Row],[SLA_Status]]="Met",Table1[[#This Row],[CSAT_Score]]*1,Table1[[#This Row],[CSAT_Score]]*0.5)</f>
        <v>1.5</v>
      </c>
      <c r="V115" t="str">
        <f>TEXT(Table1[[#This Row],[Ticket_Date]],"yyyy-mmm")</f>
        <v>2024-Feb</v>
      </c>
    </row>
    <row r="116" spans="1:22" x14ac:dyDescent="0.3">
      <c r="A116" t="s">
        <v>152</v>
      </c>
      <c r="B116" s="1">
        <v>45329</v>
      </c>
      <c r="C116" t="s">
        <v>34</v>
      </c>
      <c r="D116" t="s">
        <v>35</v>
      </c>
      <c r="E116" t="s">
        <v>36</v>
      </c>
      <c r="F116" t="s">
        <v>17</v>
      </c>
      <c r="G116" t="s">
        <v>26</v>
      </c>
      <c r="H116" t="s">
        <v>19</v>
      </c>
      <c r="I116" s="2">
        <v>0.50347222222222221</v>
      </c>
      <c r="J116" s="2">
        <v>0.54166666666666663</v>
      </c>
      <c r="K116">
        <v>30</v>
      </c>
      <c r="L116">
        <v>2</v>
      </c>
      <c r="M116" t="s">
        <v>37</v>
      </c>
      <c r="N116" s="3">
        <f>(Table1[[#This Row],[Close_Time]]-Table1[[#This Row],[Open_Time]])*1440</f>
        <v>54.999999999999964</v>
      </c>
      <c r="O116" t="str">
        <f>IF(Table1[[#This Row],[Resolution_Time_Min]]&lt;=Table1[[#This Row],[SLA_Target_Min]],"Met","Breached")</f>
        <v>Breached</v>
      </c>
      <c r="P116">
        <f>IF(Table1[[#This Row],[SLA_Status]]="Breached",1,0)</f>
        <v>1</v>
      </c>
      <c r="Q116" t="str" cm="1">
        <f t="array" ref="Q116">_xlfn.IFS(Table1[[#This Row],[Resolution_Time_Min]]&lt;=15,"Very Fast",Table1[[#This Row],[Resolution_Time_Min]]&lt;=30,"Fast",Table1[[#This Row],[Resolution_Time_Min]]&lt;=60,"Moderate",TRUE,"Slow")</f>
        <v>Moderate</v>
      </c>
      <c r="R116" t="str" cm="1">
        <f t="array" ref="R116">_xlfn.IFS(Table1[[#This Row],[CSAT_Score]]&gt;=4,"Satisfied",Table1[[#This Row],[CSAT_Score]]=3,"Neutral",TRUE,"Dissatisfied")</f>
        <v>Dissatisfied</v>
      </c>
      <c r="S116">
        <f>IF(Table1[[#This Row],[Reopen_Flag]]="Yes",1,0)</f>
        <v>1</v>
      </c>
      <c r="T116">
        <f>IF(Table1[[#This Row],[SLA_Status]]="Met",1,0)</f>
        <v>0</v>
      </c>
      <c r="U116">
        <f>IF(Table1[[#This Row],[SLA_Status]]="Met",Table1[[#This Row],[CSAT_Score]]*1,Table1[[#This Row],[CSAT_Score]]*0.5)</f>
        <v>1</v>
      </c>
      <c r="V116" t="str">
        <f>TEXT(Table1[[#This Row],[Ticket_Date]],"yyyy-mmm")</f>
        <v>2024-Feb</v>
      </c>
    </row>
    <row r="117" spans="1:22" x14ac:dyDescent="0.3">
      <c r="A117" t="s">
        <v>153</v>
      </c>
      <c r="B117" s="1">
        <v>45330</v>
      </c>
      <c r="C117" t="s">
        <v>14</v>
      </c>
      <c r="D117" t="s">
        <v>15</v>
      </c>
      <c r="E117" t="s">
        <v>16</v>
      </c>
      <c r="F117" t="s">
        <v>31</v>
      </c>
      <c r="G117" t="s">
        <v>18</v>
      </c>
      <c r="H117" t="s">
        <v>32</v>
      </c>
      <c r="I117" s="2">
        <v>0.375</v>
      </c>
      <c r="J117" s="2">
        <v>0.41319444444444442</v>
      </c>
      <c r="K117">
        <v>60</v>
      </c>
      <c r="L117">
        <v>5</v>
      </c>
      <c r="M117" t="s">
        <v>20</v>
      </c>
      <c r="N117" s="3">
        <f>(Table1[[#This Row],[Close_Time]]-Table1[[#This Row],[Open_Time]])*1440</f>
        <v>54.999999999999964</v>
      </c>
      <c r="O117" t="str">
        <f>IF(Table1[[#This Row],[Resolution_Time_Min]]&lt;=Table1[[#This Row],[SLA_Target_Min]],"Met","Breached")</f>
        <v>Met</v>
      </c>
      <c r="P117">
        <f>IF(Table1[[#This Row],[SLA_Status]]="Breached",1,0)</f>
        <v>0</v>
      </c>
      <c r="Q117" t="str" cm="1">
        <f t="array" ref="Q117">_xlfn.IFS(Table1[[#This Row],[Resolution_Time_Min]]&lt;=15,"Very Fast",Table1[[#This Row],[Resolution_Time_Min]]&lt;=30,"Fast",Table1[[#This Row],[Resolution_Time_Min]]&lt;=60,"Moderate",TRUE,"Slow")</f>
        <v>Moderate</v>
      </c>
      <c r="R117" t="str" cm="1">
        <f t="array" ref="R117">_xlfn.IFS(Table1[[#This Row],[CSAT_Score]]&gt;=4,"Satisfied",Table1[[#This Row],[CSAT_Score]]=3,"Neutral",TRUE,"Dissatisfied")</f>
        <v>Satisfied</v>
      </c>
      <c r="S117">
        <f>IF(Table1[[#This Row],[Reopen_Flag]]="Yes",1,0)</f>
        <v>0</v>
      </c>
      <c r="T117">
        <f>IF(Table1[[#This Row],[SLA_Status]]="Met",1,0)</f>
        <v>1</v>
      </c>
      <c r="U117">
        <f>IF(Table1[[#This Row],[SLA_Status]]="Met",Table1[[#This Row],[CSAT_Score]]*1,Table1[[#This Row],[CSAT_Score]]*0.5)</f>
        <v>5</v>
      </c>
      <c r="V117" t="str">
        <f>TEXT(Table1[[#This Row],[Ticket_Date]],"yyyy-mmm")</f>
        <v>2024-Feb</v>
      </c>
    </row>
    <row r="118" spans="1:22" x14ac:dyDescent="0.3">
      <c r="A118" t="s">
        <v>154</v>
      </c>
      <c r="B118" s="1">
        <v>45330</v>
      </c>
      <c r="C118" t="s">
        <v>22</v>
      </c>
      <c r="D118" t="s">
        <v>23</v>
      </c>
      <c r="E118" t="s">
        <v>24</v>
      </c>
      <c r="F118" t="s">
        <v>31</v>
      </c>
      <c r="G118" t="s">
        <v>18</v>
      </c>
      <c r="H118" t="s">
        <v>32</v>
      </c>
      <c r="I118" s="2">
        <v>0.4375</v>
      </c>
      <c r="J118" s="2">
        <v>0.47569444444444442</v>
      </c>
      <c r="K118">
        <v>60</v>
      </c>
      <c r="L118">
        <v>5</v>
      </c>
      <c r="M118" t="s">
        <v>20</v>
      </c>
      <c r="N118" s="3">
        <f>(Table1[[#This Row],[Close_Time]]-Table1[[#This Row],[Open_Time]])*1440</f>
        <v>54.999999999999964</v>
      </c>
      <c r="O118" t="str">
        <f>IF(Table1[[#This Row],[Resolution_Time_Min]]&lt;=Table1[[#This Row],[SLA_Target_Min]],"Met","Breached")</f>
        <v>Met</v>
      </c>
      <c r="P118">
        <f>IF(Table1[[#This Row],[SLA_Status]]="Breached",1,0)</f>
        <v>0</v>
      </c>
      <c r="Q118" t="str" cm="1">
        <f t="array" ref="Q118">_xlfn.IFS(Table1[[#This Row],[Resolution_Time_Min]]&lt;=15,"Very Fast",Table1[[#This Row],[Resolution_Time_Min]]&lt;=30,"Fast",Table1[[#This Row],[Resolution_Time_Min]]&lt;=60,"Moderate",TRUE,"Slow")</f>
        <v>Moderate</v>
      </c>
      <c r="R118" t="str" cm="1">
        <f t="array" ref="R118">_xlfn.IFS(Table1[[#This Row],[CSAT_Score]]&gt;=4,"Satisfied",Table1[[#This Row],[CSAT_Score]]=3,"Neutral",TRUE,"Dissatisfied")</f>
        <v>Satisfied</v>
      </c>
      <c r="S118">
        <f>IF(Table1[[#This Row],[Reopen_Flag]]="Yes",1,0)</f>
        <v>0</v>
      </c>
      <c r="T118">
        <f>IF(Table1[[#This Row],[SLA_Status]]="Met",1,0)</f>
        <v>1</v>
      </c>
      <c r="U118">
        <f>IF(Table1[[#This Row],[SLA_Status]]="Met",Table1[[#This Row],[CSAT_Score]]*1,Table1[[#This Row],[CSAT_Score]]*0.5)</f>
        <v>5</v>
      </c>
      <c r="V118" t="str">
        <f>TEXT(Table1[[#This Row],[Ticket_Date]],"yyyy-mmm")</f>
        <v>2024-Feb</v>
      </c>
    </row>
    <row r="119" spans="1:22" x14ac:dyDescent="0.3">
      <c r="A119" t="s">
        <v>155</v>
      </c>
      <c r="B119" s="1">
        <v>45330</v>
      </c>
      <c r="C119" t="s">
        <v>41</v>
      </c>
      <c r="D119" t="s">
        <v>42</v>
      </c>
      <c r="E119" t="s">
        <v>36</v>
      </c>
      <c r="F119" t="s">
        <v>17</v>
      </c>
      <c r="G119" t="s">
        <v>26</v>
      </c>
      <c r="H119" t="s">
        <v>27</v>
      </c>
      <c r="I119" s="2">
        <v>0.51041666666666663</v>
      </c>
      <c r="J119" s="2">
        <v>0.53819444444444442</v>
      </c>
      <c r="K119">
        <v>40</v>
      </c>
      <c r="L119">
        <v>3</v>
      </c>
      <c r="M119" t="s">
        <v>20</v>
      </c>
      <c r="N119" s="3">
        <f>(Table1[[#This Row],[Close_Time]]-Table1[[#This Row],[Open_Time]])*1440</f>
        <v>40.000000000000014</v>
      </c>
      <c r="O119" t="str">
        <f>IF(Table1[[#This Row],[Resolution_Time_Min]]&lt;=Table1[[#This Row],[SLA_Target_Min]],"Met","Breached")</f>
        <v>Met</v>
      </c>
      <c r="P119">
        <f>IF(Table1[[#This Row],[SLA_Status]]="Breached",1,0)</f>
        <v>0</v>
      </c>
      <c r="Q119" t="str" cm="1">
        <f t="array" ref="Q119">_xlfn.IFS(Table1[[#This Row],[Resolution_Time_Min]]&lt;=15,"Very Fast",Table1[[#This Row],[Resolution_Time_Min]]&lt;=30,"Fast",Table1[[#This Row],[Resolution_Time_Min]]&lt;=60,"Moderate",TRUE,"Slow")</f>
        <v>Moderate</v>
      </c>
      <c r="R119" t="str" cm="1">
        <f t="array" ref="R119">_xlfn.IFS(Table1[[#This Row],[CSAT_Score]]&gt;=4,"Satisfied",Table1[[#This Row],[CSAT_Score]]=3,"Neutral",TRUE,"Dissatisfied")</f>
        <v>Neutral</v>
      </c>
      <c r="S119">
        <f>IF(Table1[[#This Row],[Reopen_Flag]]="Yes",1,0)</f>
        <v>0</v>
      </c>
      <c r="T119">
        <f>IF(Table1[[#This Row],[SLA_Status]]="Met",1,0)</f>
        <v>1</v>
      </c>
      <c r="U119">
        <f>IF(Table1[[#This Row],[SLA_Status]]="Met",Table1[[#This Row],[CSAT_Score]]*1,Table1[[#This Row],[CSAT_Score]]*0.5)</f>
        <v>3</v>
      </c>
      <c r="V119" t="str">
        <f>TEXT(Table1[[#This Row],[Ticket_Date]],"yyyy-mmm")</f>
        <v>2024-Feb</v>
      </c>
    </row>
    <row r="120" spans="1:22" x14ac:dyDescent="0.3">
      <c r="A120" t="s">
        <v>156</v>
      </c>
      <c r="B120" s="1">
        <v>45331</v>
      </c>
      <c r="C120" t="s">
        <v>44</v>
      </c>
      <c r="D120" t="s">
        <v>45</v>
      </c>
      <c r="E120" t="s">
        <v>16</v>
      </c>
      <c r="F120" t="s">
        <v>17</v>
      </c>
      <c r="G120" t="s">
        <v>18</v>
      </c>
      <c r="H120" t="s">
        <v>27</v>
      </c>
      <c r="I120" s="2">
        <v>0.38541666666666669</v>
      </c>
      <c r="J120" s="2">
        <v>0.41319444444444442</v>
      </c>
      <c r="K120">
        <v>40</v>
      </c>
      <c r="L120">
        <v>4</v>
      </c>
      <c r="M120" t="s">
        <v>20</v>
      </c>
      <c r="N120" s="3">
        <f>(Table1[[#This Row],[Close_Time]]-Table1[[#This Row],[Open_Time]])*1440</f>
        <v>39.999999999999936</v>
      </c>
      <c r="O120" t="str">
        <f>IF(Table1[[#This Row],[Resolution_Time_Min]]&lt;=Table1[[#This Row],[SLA_Target_Min]],"Met","Breached")</f>
        <v>Met</v>
      </c>
      <c r="P120">
        <f>IF(Table1[[#This Row],[SLA_Status]]="Breached",1,0)</f>
        <v>0</v>
      </c>
      <c r="Q120" t="str" cm="1">
        <f t="array" ref="Q120">_xlfn.IFS(Table1[[#This Row],[Resolution_Time_Min]]&lt;=15,"Very Fast",Table1[[#This Row],[Resolution_Time_Min]]&lt;=30,"Fast",Table1[[#This Row],[Resolution_Time_Min]]&lt;=60,"Moderate",TRUE,"Slow")</f>
        <v>Moderate</v>
      </c>
      <c r="R120" t="str" cm="1">
        <f t="array" ref="R120">_xlfn.IFS(Table1[[#This Row],[CSAT_Score]]&gt;=4,"Satisfied",Table1[[#This Row],[CSAT_Score]]=3,"Neutral",TRUE,"Dissatisfied")</f>
        <v>Satisfied</v>
      </c>
      <c r="S120">
        <f>IF(Table1[[#This Row],[Reopen_Flag]]="Yes",1,0)</f>
        <v>0</v>
      </c>
      <c r="T120">
        <f>IF(Table1[[#This Row],[SLA_Status]]="Met",1,0)</f>
        <v>1</v>
      </c>
      <c r="U120">
        <f>IF(Table1[[#This Row],[SLA_Status]]="Met",Table1[[#This Row],[CSAT_Score]]*1,Table1[[#This Row],[CSAT_Score]]*0.5)</f>
        <v>4</v>
      </c>
      <c r="V120" t="str">
        <f>TEXT(Table1[[#This Row],[Ticket_Date]],"yyyy-mmm")</f>
        <v>2024-Feb</v>
      </c>
    </row>
    <row r="121" spans="1:22" x14ac:dyDescent="0.3">
      <c r="A121" t="s">
        <v>157</v>
      </c>
      <c r="B121" s="1">
        <v>45331</v>
      </c>
      <c r="C121" t="s">
        <v>29</v>
      </c>
      <c r="D121" t="s">
        <v>30</v>
      </c>
      <c r="E121" t="s">
        <v>16</v>
      </c>
      <c r="F121" t="s">
        <v>31</v>
      </c>
      <c r="G121" t="s">
        <v>18</v>
      </c>
      <c r="H121" t="s">
        <v>32</v>
      </c>
      <c r="I121" s="2">
        <v>0.43402777777777779</v>
      </c>
      <c r="J121" s="2">
        <v>0.47222222222222221</v>
      </c>
      <c r="K121">
        <v>60</v>
      </c>
      <c r="L121">
        <v>5</v>
      </c>
      <c r="M121" t="s">
        <v>20</v>
      </c>
      <c r="N121" s="3">
        <f>(Table1[[#This Row],[Close_Time]]-Table1[[#This Row],[Open_Time]])*1440</f>
        <v>54.999999999999964</v>
      </c>
      <c r="O121" t="str">
        <f>IF(Table1[[#This Row],[Resolution_Time_Min]]&lt;=Table1[[#This Row],[SLA_Target_Min]],"Met","Breached")</f>
        <v>Met</v>
      </c>
      <c r="P121">
        <f>IF(Table1[[#This Row],[SLA_Status]]="Breached",1,0)</f>
        <v>0</v>
      </c>
      <c r="Q121" t="str" cm="1">
        <f t="array" ref="Q121">_xlfn.IFS(Table1[[#This Row],[Resolution_Time_Min]]&lt;=15,"Very Fast",Table1[[#This Row],[Resolution_Time_Min]]&lt;=30,"Fast",Table1[[#This Row],[Resolution_Time_Min]]&lt;=60,"Moderate",TRUE,"Slow")</f>
        <v>Moderate</v>
      </c>
      <c r="R121" t="str" cm="1">
        <f t="array" ref="R121">_xlfn.IFS(Table1[[#This Row],[CSAT_Score]]&gt;=4,"Satisfied",Table1[[#This Row],[CSAT_Score]]=3,"Neutral",TRUE,"Dissatisfied")</f>
        <v>Satisfied</v>
      </c>
      <c r="S121">
        <f>IF(Table1[[#This Row],[Reopen_Flag]]="Yes",1,0)</f>
        <v>0</v>
      </c>
      <c r="T121">
        <f>IF(Table1[[#This Row],[SLA_Status]]="Met",1,0)</f>
        <v>1</v>
      </c>
      <c r="U121">
        <f>IF(Table1[[#This Row],[SLA_Status]]="Met",Table1[[#This Row],[CSAT_Score]]*1,Table1[[#This Row],[CSAT_Score]]*0.5)</f>
        <v>5</v>
      </c>
      <c r="V121" t="str">
        <f>TEXT(Table1[[#This Row],[Ticket_Date]],"yyyy-mmm")</f>
        <v>2024-Feb</v>
      </c>
    </row>
    <row r="122" spans="1:22" x14ac:dyDescent="0.3">
      <c r="A122" t="s">
        <v>158</v>
      </c>
      <c r="B122" s="1">
        <v>45331</v>
      </c>
      <c r="C122" t="s">
        <v>34</v>
      </c>
      <c r="D122" t="s">
        <v>35</v>
      </c>
      <c r="E122" t="s">
        <v>36</v>
      </c>
      <c r="F122" t="s">
        <v>25</v>
      </c>
      <c r="G122" t="s">
        <v>26</v>
      </c>
      <c r="H122" t="s">
        <v>27</v>
      </c>
      <c r="I122" s="2">
        <v>0.50347222222222221</v>
      </c>
      <c r="J122" s="2">
        <v>0.53125</v>
      </c>
      <c r="K122">
        <v>40</v>
      </c>
      <c r="L122">
        <v>4</v>
      </c>
      <c r="M122" t="s">
        <v>20</v>
      </c>
      <c r="N122" s="3">
        <f>(Table1[[#This Row],[Close_Time]]-Table1[[#This Row],[Open_Time]])*1440</f>
        <v>40.000000000000014</v>
      </c>
      <c r="O122" t="str">
        <f>IF(Table1[[#This Row],[Resolution_Time_Min]]&lt;=Table1[[#This Row],[SLA_Target_Min]],"Met","Breached")</f>
        <v>Met</v>
      </c>
      <c r="P122">
        <f>IF(Table1[[#This Row],[SLA_Status]]="Breached",1,0)</f>
        <v>0</v>
      </c>
      <c r="Q122" t="str" cm="1">
        <f t="array" ref="Q122">_xlfn.IFS(Table1[[#This Row],[Resolution_Time_Min]]&lt;=15,"Very Fast",Table1[[#This Row],[Resolution_Time_Min]]&lt;=30,"Fast",Table1[[#This Row],[Resolution_Time_Min]]&lt;=60,"Moderate",TRUE,"Slow")</f>
        <v>Moderate</v>
      </c>
      <c r="R122" t="str" cm="1">
        <f t="array" ref="R122">_xlfn.IFS(Table1[[#This Row],[CSAT_Score]]&gt;=4,"Satisfied",Table1[[#This Row],[CSAT_Score]]=3,"Neutral",TRUE,"Dissatisfied")</f>
        <v>Satisfied</v>
      </c>
      <c r="S122">
        <f>IF(Table1[[#This Row],[Reopen_Flag]]="Yes",1,0)</f>
        <v>0</v>
      </c>
      <c r="T122">
        <f>IF(Table1[[#This Row],[SLA_Status]]="Met",1,0)</f>
        <v>1</v>
      </c>
      <c r="U122">
        <f>IF(Table1[[#This Row],[SLA_Status]]="Met",Table1[[#This Row],[CSAT_Score]]*1,Table1[[#This Row],[CSAT_Score]]*0.5)</f>
        <v>4</v>
      </c>
      <c r="V122" t="str">
        <f>TEXT(Table1[[#This Row],[Ticket_Date]],"yyyy-mmm")</f>
        <v>2024-Feb</v>
      </c>
    </row>
    <row r="123" spans="1:22" x14ac:dyDescent="0.3">
      <c r="A123" t="s">
        <v>159</v>
      </c>
      <c r="B123" s="1">
        <v>45332</v>
      </c>
      <c r="C123" t="s">
        <v>14</v>
      </c>
      <c r="D123" t="s">
        <v>15</v>
      </c>
      <c r="E123" t="s">
        <v>16</v>
      </c>
      <c r="F123" t="s">
        <v>17</v>
      </c>
      <c r="G123" t="s">
        <v>18</v>
      </c>
      <c r="H123" t="s">
        <v>19</v>
      </c>
      <c r="I123" s="2">
        <v>0.37847222222222221</v>
      </c>
      <c r="J123" s="2">
        <v>0.41666666666666669</v>
      </c>
      <c r="K123">
        <v>30</v>
      </c>
      <c r="L123">
        <v>2</v>
      </c>
      <c r="M123" t="s">
        <v>37</v>
      </c>
      <c r="N123" s="3">
        <f>(Table1[[#This Row],[Close_Time]]-Table1[[#This Row],[Open_Time]])*1440</f>
        <v>55.000000000000043</v>
      </c>
      <c r="O123" t="str">
        <f>IF(Table1[[#This Row],[Resolution_Time_Min]]&lt;=Table1[[#This Row],[SLA_Target_Min]],"Met","Breached")</f>
        <v>Breached</v>
      </c>
      <c r="P123">
        <f>IF(Table1[[#This Row],[SLA_Status]]="Breached",1,0)</f>
        <v>1</v>
      </c>
      <c r="Q123" t="str" cm="1">
        <f t="array" ref="Q123">_xlfn.IFS(Table1[[#This Row],[Resolution_Time_Min]]&lt;=15,"Very Fast",Table1[[#This Row],[Resolution_Time_Min]]&lt;=30,"Fast",Table1[[#This Row],[Resolution_Time_Min]]&lt;=60,"Moderate",TRUE,"Slow")</f>
        <v>Moderate</v>
      </c>
      <c r="R123" t="str" cm="1">
        <f t="array" ref="R123">_xlfn.IFS(Table1[[#This Row],[CSAT_Score]]&gt;=4,"Satisfied",Table1[[#This Row],[CSAT_Score]]=3,"Neutral",TRUE,"Dissatisfied")</f>
        <v>Dissatisfied</v>
      </c>
      <c r="S123">
        <f>IF(Table1[[#This Row],[Reopen_Flag]]="Yes",1,0)</f>
        <v>1</v>
      </c>
      <c r="T123">
        <f>IF(Table1[[#This Row],[SLA_Status]]="Met",1,0)</f>
        <v>0</v>
      </c>
      <c r="U123">
        <f>IF(Table1[[#This Row],[SLA_Status]]="Met",Table1[[#This Row],[CSAT_Score]]*1,Table1[[#This Row],[CSAT_Score]]*0.5)</f>
        <v>1</v>
      </c>
      <c r="V123" t="str">
        <f>TEXT(Table1[[#This Row],[Ticket_Date]],"yyyy-mmm")</f>
        <v>2024-Feb</v>
      </c>
    </row>
    <row r="124" spans="1:22" x14ac:dyDescent="0.3">
      <c r="A124" t="s">
        <v>160</v>
      </c>
      <c r="B124" s="1">
        <v>45332</v>
      </c>
      <c r="C124" t="s">
        <v>22</v>
      </c>
      <c r="D124" t="s">
        <v>23</v>
      </c>
      <c r="E124" t="s">
        <v>24</v>
      </c>
      <c r="F124" t="s">
        <v>25</v>
      </c>
      <c r="G124" t="s">
        <v>26</v>
      </c>
      <c r="H124" t="s">
        <v>32</v>
      </c>
      <c r="I124" s="2">
        <v>0.44444444444444442</v>
      </c>
      <c r="J124" s="2">
        <v>0.47916666666666669</v>
      </c>
      <c r="K124">
        <v>60</v>
      </c>
      <c r="L124">
        <v>5</v>
      </c>
      <c r="M124" t="s">
        <v>20</v>
      </c>
      <c r="N124" s="3">
        <f>(Table1[[#This Row],[Close_Time]]-Table1[[#This Row],[Open_Time]])*1440</f>
        <v>50.000000000000064</v>
      </c>
      <c r="O124" t="str">
        <f>IF(Table1[[#This Row],[Resolution_Time_Min]]&lt;=Table1[[#This Row],[SLA_Target_Min]],"Met","Breached")</f>
        <v>Met</v>
      </c>
      <c r="P124">
        <f>IF(Table1[[#This Row],[SLA_Status]]="Breached",1,0)</f>
        <v>0</v>
      </c>
      <c r="Q124" t="str" cm="1">
        <f t="array" ref="Q124">_xlfn.IFS(Table1[[#This Row],[Resolution_Time_Min]]&lt;=15,"Very Fast",Table1[[#This Row],[Resolution_Time_Min]]&lt;=30,"Fast",Table1[[#This Row],[Resolution_Time_Min]]&lt;=60,"Moderate",TRUE,"Slow")</f>
        <v>Moderate</v>
      </c>
      <c r="R124" t="str" cm="1">
        <f t="array" ref="R124">_xlfn.IFS(Table1[[#This Row],[CSAT_Score]]&gt;=4,"Satisfied",Table1[[#This Row],[CSAT_Score]]=3,"Neutral",TRUE,"Dissatisfied")</f>
        <v>Satisfied</v>
      </c>
      <c r="S124">
        <f>IF(Table1[[#This Row],[Reopen_Flag]]="Yes",1,0)</f>
        <v>0</v>
      </c>
      <c r="T124">
        <f>IF(Table1[[#This Row],[SLA_Status]]="Met",1,0)</f>
        <v>1</v>
      </c>
      <c r="U124">
        <f>IF(Table1[[#This Row],[SLA_Status]]="Met",Table1[[#This Row],[CSAT_Score]]*1,Table1[[#This Row],[CSAT_Score]]*0.5)</f>
        <v>5</v>
      </c>
      <c r="V124" t="str">
        <f>TEXT(Table1[[#This Row],[Ticket_Date]],"yyyy-mmm")</f>
        <v>2024-Feb</v>
      </c>
    </row>
    <row r="125" spans="1:22" x14ac:dyDescent="0.3">
      <c r="A125" t="s">
        <v>161</v>
      </c>
      <c r="B125" s="1">
        <v>45332</v>
      </c>
      <c r="C125" t="s">
        <v>41</v>
      </c>
      <c r="D125" t="s">
        <v>42</v>
      </c>
      <c r="E125" t="s">
        <v>36</v>
      </c>
      <c r="F125" t="s">
        <v>17</v>
      </c>
      <c r="G125" t="s">
        <v>26</v>
      </c>
      <c r="H125" t="s">
        <v>19</v>
      </c>
      <c r="I125" s="2">
        <v>0.50694444444444442</v>
      </c>
      <c r="J125" s="2">
        <v>0.54513888888888884</v>
      </c>
      <c r="K125">
        <v>30</v>
      </c>
      <c r="L125">
        <v>2</v>
      </c>
      <c r="M125" t="s">
        <v>37</v>
      </c>
      <c r="N125" s="3">
        <f>(Table1[[#This Row],[Close_Time]]-Table1[[#This Row],[Open_Time]])*1440</f>
        <v>54.999999999999964</v>
      </c>
      <c r="O125" t="str">
        <f>IF(Table1[[#This Row],[Resolution_Time_Min]]&lt;=Table1[[#This Row],[SLA_Target_Min]],"Met","Breached")</f>
        <v>Breached</v>
      </c>
      <c r="P125">
        <f>IF(Table1[[#This Row],[SLA_Status]]="Breached",1,0)</f>
        <v>1</v>
      </c>
      <c r="Q125" t="str" cm="1">
        <f t="array" ref="Q125">_xlfn.IFS(Table1[[#This Row],[Resolution_Time_Min]]&lt;=15,"Very Fast",Table1[[#This Row],[Resolution_Time_Min]]&lt;=30,"Fast",Table1[[#This Row],[Resolution_Time_Min]]&lt;=60,"Moderate",TRUE,"Slow")</f>
        <v>Moderate</v>
      </c>
      <c r="R125" t="str" cm="1">
        <f t="array" ref="R125">_xlfn.IFS(Table1[[#This Row],[CSAT_Score]]&gt;=4,"Satisfied",Table1[[#This Row],[CSAT_Score]]=3,"Neutral",TRUE,"Dissatisfied")</f>
        <v>Dissatisfied</v>
      </c>
      <c r="S125">
        <f>IF(Table1[[#This Row],[Reopen_Flag]]="Yes",1,0)</f>
        <v>1</v>
      </c>
      <c r="T125">
        <f>IF(Table1[[#This Row],[SLA_Status]]="Met",1,0)</f>
        <v>0</v>
      </c>
      <c r="U125">
        <f>IF(Table1[[#This Row],[SLA_Status]]="Met",Table1[[#This Row],[CSAT_Score]]*1,Table1[[#This Row],[CSAT_Score]]*0.5)</f>
        <v>1</v>
      </c>
      <c r="V125" t="str">
        <f>TEXT(Table1[[#This Row],[Ticket_Date]],"yyyy-mmm")</f>
        <v>2024-Feb</v>
      </c>
    </row>
    <row r="126" spans="1:22" x14ac:dyDescent="0.3">
      <c r="A126" t="s">
        <v>162</v>
      </c>
      <c r="B126" s="1">
        <v>45333</v>
      </c>
      <c r="C126" t="s">
        <v>44</v>
      </c>
      <c r="D126" t="s">
        <v>45</v>
      </c>
      <c r="E126" t="s">
        <v>16</v>
      </c>
      <c r="F126" t="s">
        <v>31</v>
      </c>
      <c r="G126" t="s">
        <v>18</v>
      </c>
      <c r="H126" t="s">
        <v>32</v>
      </c>
      <c r="I126" s="2">
        <v>0.38194444444444442</v>
      </c>
      <c r="J126" s="2">
        <v>0.4201388888888889</v>
      </c>
      <c r="K126">
        <v>60</v>
      </c>
      <c r="L126">
        <v>5</v>
      </c>
      <c r="M126" t="s">
        <v>20</v>
      </c>
      <c r="N126" s="3">
        <f>(Table1[[#This Row],[Close_Time]]-Table1[[#This Row],[Open_Time]])*1440</f>
        <v>55.000000000000043</v>
      </c>
      <c r="O126" t="str">
        <f>IF(Table1[[#This Row],[Resolution_Time_Min]]&lt;=Table1[[#This Row],[SLA_Target_Min]],"Met","Breached")</f>
        <v>Met</v>
      </c>
      <c r="P126">
        <f>IF(Table1[[#This Row],[SLA_Status]]="Breached",1,0)</f>
        <v>0</v>
      </c>
      <c r="Q126" t="str" cm="1">
        <f t="array" ref="Q126">_xlfn.IFS(Table1[[#This Row],[Resolution_Time_Min]]&lt;=15,"Very Fast",Table1[[#This Row],[Resolution_Time_Min]]&lt;=30,"Fast",Table1[[#This Row],[Resolution_Time_Min]]&lt;=60,"Moderate",TRUE,"Slow")</f>
        <v>Moderate</v>
      </c>
      <c r="R126" t="str" cm="1">
        <f t="array" ref="R126">_xlfn.IFS(Table1[[#This Row],[CSAT_Score]]&gt;=4,"Satisfied",Table1[[#This Row],[CSAT_Score]]=3,"Neutral",TRUE,"Dissatisfied")</f>
        <v>Satisfied</v>
      </c>
      <c r="S126">
        <f>IF(Table1[[#This Row],[Reopen_Flag]]="Yes",1,0)</f>
        <v>0</v>
      </c>
      <c r="T126">
        <f>IF(Table1[[#This Row],[SLA_Status]]="Met",1,0)</f>
        <v>1</v>
      </c>
      <c r="U126">
        <f>IF(Table1[[#This Row],[SLA_Status]]="Met",Table1[[#This Row],[CSAT_Score]]*1,Table1[[#This Row],[CSAT_Score]]*0.5)</f>
        <v>5</v>
      </c>
      <c r="V126" t="str">
        <f>TEXT(Table1[[#This Row],[Ticket_Date]],"yyyy-mmm")</f>
        <v>2024-Feb</v>
      </c>
    </row>
    <row r="127" spans="1:22" x14ac:dyDescent="0.3">
      <c r="A127" t="s">
        <v>163</v>
      </c>
      <c r="B127" s="1">
        <v>45333</v>
      </c>
      <c r="C127" t="s">
        <v>29</v>
      </c>
      <c r="D127" t="s">
        <v>30</v>
      </c>
      <c r="E127" t="s">
        <v>16</v>
      </c>
      <c r="F127" t="s">
        <v>17</v>
      </c>
      <c r="G127" t="s">
        <v>18</v>
      </c>
      <c r="H127" t="s">
        <v>27</v>
      </c>
      <c r="I127" s="2">
        <v>0.44097222222222221</v>
      </c>
      <c r="J127" s="2">
        <v>0.47222222222222221</v>
      </c>
      <c r="K127">
        <v>40</v>
      </c>
      <c r="L127">
        <v>4</v>
      </c>
      <c r="M127" t="s">
        <v>20</v>
      </c>
      <c r="N127" s="3">
        <f>(Table1[[#This Row],[Close_Time]]-Table1[[#This Row],[Open_Time]])*1440</f>
        <v>45</v>
      </c>
      <c r="O127" t="str">
        <f>IF(Table1[[#This Row],[Resolution_Time_Min]]&lt;=Table1[[#This Row],[SLA_Target_Min]],"Met","Breached")</f>
        <v>Breached</v>
      </c>
      <c r="P127">
        <f>IF(Table1[[#This Row],[SLA_Status]]="Breached",1,0)</f>
        <v>1</v>
      </c>
      <c r="Q127" t="str" cm="1">
        <f t="array" ref="Q127">_xlfn.IFS(Table1[[#This Row],[Resolution_Time_Min]]&lt;=15,"Very Fast",Table1[[#This Row],[Resolution_Time_Min]]&lt;=30,"Fast",Table1[[#This Row],[Resolution_Time_Min]]&lt;=60,"Moderate",TRUE,"Slow")</f>
        <v>Moderate</v>
      </c>
      <c r="R127" t="str" cm="1">
        <f t="array" ref="R127">_xlfn.IFS(Table1[[#This Row],[CSAT_Score]]&gt;=4,"Satisfied",Table1[[#This Row],[CSAT_Score]]=3,"Neutral",TRUE,"Dissatisfied")</f>
        <v>Satisfied</v>
      </c>
      <c r="S127">
        <f>IF(Table1[[#This Row],[Reopen_Flag]]="Yes",1,0)</f>
        <v>0</v>
      </c>
      <c r="T127">
        <f>IF(Table1[[#This Row],[SLA_Status]]="Met",1,0)</f>
        <v>0</v>
      </c>
      <c r="U127">
        <f>IF(Table1[[#This Row],[SLA_Status]]="Met",Table1[[#This Row],[CSAT_Score]]*1,Table1[[#This Row],[CSAT_Score]]*0.5)</f>
        <v>2</v>
      </c>
      <c r="V127" t="str">
        <f>TEXT(Table1[[#This Row],[Ticket_Date]],"yyyy-mmm")</f>
        <v>2024-Feb</v>
      </c>
    </row>
    <row r="128" spans="1:22" x14ac:dyDescent="0.3">
      <c r="A128" t="s">
        <v>164</v>
      </c>
      <c r="B128" s="1">
        <v>45333</v>
      </c>
      <c r="C128" t="s">
        <v>34</v>
      </c>
      <c r="D128" t="s">
        <v>35</v>
      </c>
      <c r="E128" t="s">
        <v>36</v>
      </c>
      <c r="F128" t="s">
        <v>17</v>
      </c>
      <c r="G128" t="s">
        <v>26</v>
      </c>
      <c r="H128" t="s">
        <v>19</v>
      </c>
      <c r="I128" s="2">
        <v>0.50347222222222221</v>
      </c>
      <c r="J128" s="2">
        <v>0.54166666666666663</v>
      </c>
      <c r="K128">
        <v>30</v>
      </c>
      <c r="L128">
        <v>2</v>
      </c>
      <c r="M128" t="s">
        <v>37</v>
      </c>
      <c r="N128" s="3">
        <f>(Table1[[#This Row],[Close_Time]]-Table1[[#This Row],[Open_Time]])*1440</f>
        <v>54.999999999999964</v>
      </c>
      <c r="O128" t="str">
        <f>IF(Table1[[#This Row],[Resolution_Time_Min]]&lt;=Table1[[#This Row],[SLA_Target_Min]],"Met","Breached")</f>
        <v>Breached</v>
      </c>
      <c r="P128">
        <f>IF(Table1[[#This Row],[SLA_Status]]="Breached",1,0)</f>
        <v>1</v>
      </c>
      <c r="Q128" t="str" cm="1">
        <f t="array" ref="Q128">_xlfn.IFS(Table1[[#This Row],[Resolution_Time_Min]]&lt;=15,"Very Fast",Table1[[#This Row],[Resolution_Time_Min]]&lt;=30,"Fast",Table1[[#This Row],[Resolution_Time_Min]]&lt;=60,"Moderate",TRUE,"Slow")</f>
        <v>Moderate</v>
      </c>
      <c r="R128" t="str" cm="1">
        <f t="array" ref="R128">_xlfn.IFS(Table1[[#This Row],[CSAT_Score]]&gt;=4,"Satisfied",Table1[[#This Row],[CSAT_Score]]=3,"Neutral",TRUE,"Dissatisfied")</f>
        <v>Dissatisfied</v>
      </c>
      <c r="S128">
        <f>IF(Table1[[#This Row],[Reopen_Flag]]="Yes",1,0)</f>
        <v>1</v>
      </c>
      <c r="T128">
        <f>IF(Table1[[#This Row],[SLA_Status]]="Met",1,0)</f>
        <v>0</v>
      </c>
      <c r="U128">
        <f>IF(Table1[[#This Row],[SLA_Status]]="Met",Table1[[#This Row],[CSAT_Score]]*1,Table1[[#This Row],[CSAT_Score]]*0.5)</f>
        <v>1</v>
      </c>
      <c r="V128" t="str">
        <f>TEXT(Table1[[#This Row],[Ticket_Date]],"yyyy-mmm")</f>
        <v>2024-Feb</v>
      </c>
    </row>
    <row r="129" spans="1:22" x14ac:dyDescent="0.3">
      <c r="A129" t="s">
        <v>165</v>
      </c>
      <c r="B129" s="1">
        <v>45334</v>
      </c>
      <c r="C129" t="s">
        <v>14</v>
      </c>
      <c r="D129" t="s">
        <v>15</v>
      </c>
      <c r="E129" t="s">
        <v>16</v>
      </c>
      <c r="F129" t="s">
        <v>25</v>
      </c>
      <c r="G129" t="s">
        <v>18</v>
      </c>
      <c r="H129" t="s">
        <v>27</v>
      </c>
      <c r="I129" s="2">
        <v>0.3888888888888889</v>
      </c>
      <c r="J129" s="2">
        <v>0.41666666666666669</v>
      </c>
      <c r="K129">
        <v>40</v>
      </c>
      <c r="L129">
        <v>4</v>
      </c>
      <c r="M129" t="s">
        <v>20</v>
      </c>
      <c r="N129" s="3">
        <f>(Table1[[#This Row],[Close_Time]]-Table1[[#This Row],[Open_Time]])*1440</f>
        <v>40.000000000000014</v>
      </c>
      <c r="O129" t="str">
        <f>IF(Table1[[#This Row],[Resolution_Time_Min]]&lt;=Table1[[#This Row],[SLA_Target_Min]],"Met","Breached")</f>
        <v>Met</v>
      </c>
      <c r="P129">
        <f>IF(Table1[[#This Row],[SLA_Status]]="Breached",1,0)</f>
        <v>0</v>
      </c>
      <c r="Q129" t="str" cm="1">
        <f t="array" ref="Q129">_xlfn.IFS(Table1[[#This Row],[Resolution_Time_Min]]&lt;=15,"Very Fast",Table1[[#This Row],[Resolution_Time_Min]]&lt;=30,"Fast",Table1[[#This Row],[Resolution_Time_Min]]&lt;=60,"Moderate",TRUE,"Slow")</f>
        <v>Moderate</v>
      </c>
      <c r="R129" t="str" cm="1">
        <f t="array" ref="R129">_xlfn.IFS(Table1[[#This Row],[CSAT_Score]]&gt;=4,"Satisfied",Table1[[#This Row],[CSAT_Score]]=3,"Neutral",TRUE,"Dissatisfied")</f>
        <v>Satisfied</v>
      </c>
      <c r="S129">
        <f>IF(Table1[[#This Row],[Reopen_Flag]]="Yes",1,0)</f>
        <v>0</v>
      </c>
      <c r="T129">
        <f>IF(Table1[[#This Row],[SLA_Status]]="Met",1,0)</f>
        <v>1</v>
      </c>
      <c r="U129">
        <f>IF(Table1[[#This Row],[SLA_Status]]="Met",Table1[[#This Row],[CSAT_Score]]*1,Table1[[#This Row],[CSAT_Score]]*0.5)</f>
        <v>4</v>
      </c>
      <c r="V129" t="str">
        <f>TEXT(Table1[[#This Row],[Ticket_Date]],"yyyy-mmm")</f>
        <v>2024-Feb</v>
      </c>
    </row>
    <row r="130" spans="1:22" x14ac:dyDescent="0.3">
      <c r="A130" t="s">
        <v>166</v>
      </c>
      <c r="B130" s="1">
        <v>45334</v>
      </c>
      <c r="C130" t="s">
        <v>22</v>
      </c>
      <c r="D130" t="s">
        <v>23</v>
      </c>
      <c r="E130" t="s">
        <v>24</v>
      </c>
      <c r="F130" t="s">
        <v>31</v>
      </c>
      <c r="G130" t="s">
        <v>18</v>
      </c>
      <c r="H130" t="s">
        <v>32</v>
      </c>
      <c r="I130" s="2">
        <v>0.4375</v>
      </c>
      <c r="J130" s="2">
        <v>0.47569444444444442</v>
      </c>
      <c r="K130">
        <v>60</v>
      </c>
      <c r="L130">
        <v>5</v>
      </c>
      <c r="M130" t="s">
        <v>20</v>
      </c>
      <c r="N130" s="3">
        <f>(Table1[[#This Row],[Close_Time]]-Table1[[#This Row],[Open_Time]])*1440</f>
        <v>54.999999999999964</v>
      </c>
      <c r="O130" t="str">
        <f>IF(Table1[[#This Row],[Resolution_Time_Min]]&lt;=Table1[[#This Row],[SLA_Target_Min]],"Met","Breached")</f>
        <v>Met</v>
      </c>
      <c r="P130">
        <f>IF(Table1[[#This Row],[SLA_Status]]="Breached",1,0)</f>
        <v>0</v>
      </c>
      <c r="Q130" t="str" cm="1">
        <f t="array" ref="Q130">_xlfn.IFS(Table1[[#This Row],[Resolution_Time_Min]]&lt;=15,"Very Fast",Table1[[#This Row],[Resolution_Time_Min]]&lt;=30,"Fast",Table1[[#This Row],[Resolution_Time_Min]]&lt;=60,"Moderate",TRUE,"Slow")</f>
        <v>Moderate</v>
      </c>
      <c r="R130" t="str" cm="1">
        <f t="array" ref="R130">_xlfn.IFS(Table1[[#This Row],[CSAT_Score]]&gt;=4,"Satisfied",Table1[[#This Row],[CSAT_Score]]=3,"Neutral",TRUE,"Dissatisfied")</f>
        <v>Satisfied</v>
      </c>
      <c r="S130">
        <f>IF(Table1[[#This Row],[Reopen_Flag]]="Yes",1,0)</f>
        <v>0</v>
      </c>
      <c r="T130">
        <f>IF(Table1[[#This Row],[SLA_Status]]="Met",1,0)</f>
        <v>1</v>
      </c>
      <c r="U130">
        <f>IF(Table1[[#This Row],[SLA_Status]]="Met",Table1[[#This Row],[CSAT_Score]]*1,Table1[[#This Row],[CSAT_Score]]*0.5)</f>
        <v>5</v>
      </c>
      <c r="V130" t="str">
        <f>TEXT(Table1[[#This Row],[Ticket_Date]],"yyyy-mmm")</f>
        <v>2024-Feb</v>
      </c>
    </row>
    <row r="131" spans="1:22" x14ac:dyDescent="0.3">
      <c r="A131" t="s">
        <v>167</v>
      </c>
      <c r="B131" s="1">
        <v>45334</v>
      </c>
      <c r="C131" t="s">
        <v>41</v>
      </c>
      <c r="D131" t="s">
        <v>42</v>
      </c>
      <c r="E131" t="s">
        <v>36</v>
      </c>
      <c r="F131" t="s">
        <v>17</v>
      </c>
      <c r="G131" t="s">
        <v>26</v>
      </c>
      <c r="H131" t="s">
        <v>27</v>
      </c>
      <c r="I131" s="2">
        <v>0.51041666666666663</v>
      </c>
      <c r="J131" s="2">
        <v>0.53819444444444442</v>
      </c>
      <c r="K131">
        <v>40</v>
      </c>
      <c r="L131">
        <v>3</v>
      </c>
      <c r="M131" t="s">
        <v>20</v>
      </c>
      <c r="N131" s="3">
        <f>(Table1[[#This Row],[Close_Time]]-Table1[[#This Row],[Open_Time]])*1440</f>
        <v>40.000000000000014</v>
      </c>
      <c r="O131" t="str">
        <f>IF(Table1[[#This Row],[Resolution_Time_Min]]&lt;=Table1[[#This Row],[SLA_Target_Min]],"Met","Breached")</f>
        <v>Met</v>
      </c>
      <c r="P131">
        <f>IF(Table1[[#This Row],[SLA_Status]]="Breached",1,0)</f>
        <v>0</v>
      </c>
      <c r="Q131" t="str" cm="1">
        <f t="array" ref="Q131">_xlfn.IFS(Table1[[#This Row],[Resolution_Time_Min]]&lt;=15,"Very Fast",Table1[[#This Row],[Resolution_Time_Min]]&lt;=30,"Fast",Table1[[#This Row],[Resolution_Time_Min]]&lt;=60,"Moderate",TRUE,"Slow")</f>
        <v>Moderate</v>
      </c>
      <c r="R131" t="str" cm="1">
        <f t="array" ref="R131">_xlfn.IFS(Table1[[#This Row],[CSAT_Score]]&gt;=4,"Satisfied",Table1[[#This Row],[CSAT_Score]]=3,"Neutral",TRUE,"Dissatisfied")</f>
        <v>Neutral</v>
      </c>
      <c r="S131">
        <f>IF(Table1[[#This Row],[Reopen_Flag]]="Yes",1,0)</f>
        <v>0</v>
      </c>
      <c r="T131">
        <f>IF(Table1[[#This Row],[SLA_Status]]="Met",1,0)</f>
        <v>1</v>
      </c>
      <c r="U131">
        <f>IF(Table1[[#This Row],[SLA_Status]]="Met",Table1[[#This Row],[CSAT_Score]]*1,Table1[[#This Row],[CSAT_Score]]*0.5)</f>
        <v>3</v>
      </c>
      <c r="V131" t="str">
        <f>TEXT(Table1[[#This Row],[Ticket_Date]],"yyyy-mmm")</f>
        <v>2024-Feb</v>
      </c>
    </row>
    <row r="132" spans="1:22" x14ac:dyDescent="0.3">
      <c r="A132" t="s">
        <v>168</v>
      </c>
      <c r="B132" s="1">
        <v>45335</v>
      </c>
      <c r="C132" t="s">
        <v>44</v>
      </c>
      <c r="D132" t="s">
        <v>45</v>
      </c>
      <c r="E132" t="s">
        <v>16</v>
      </c>
      <c r="F132" t="s">
        <v>17</v>
      </c>
      <c r="G132" t="s">
        <v>18</v>
      </c>
      <c r="H132" t="s">
        <v>19</v>
      </c>
      <c r="I132" s="2">
        <v>0.37847222222222221</v>
      </c>
      <c r="J132" s="2">
        <v>0.41666666666666669</v>
      </c>
      <c r="K132">
        <v>30</v>
      </c>
      <c r="L132">
        <v>2</v>
      </c>
      <c r="M132" t="s">
        <v>37</v>
      </c>
      <c r="N132" s="3">
        <f>(Table1[[#This Row],[Close_Time]]-Table1[[#This Row],[Open_Time]])*1440</f>
        <v>55.000000000000043</v>
      </c>
      <c r="O132" t="str">
        <f>IF(Table1[[#This Row],[Resolution_Time_Min]]&lt;=Table1[[#This Row],[SLA_Target_Min]],"Met","Breached")</f>
        <v>Breached</v>
      </c>
      <c r="P132">
        <f>IF(Table1[[#This Row],[SLA_Status]]="Breached",1,0)</f>
        <v>1</v>
      </c>
      <c r="Q132" t="str" cm="1">
        <f t="array" ref="Q132">_xlfn.IFS(Table1[[#This Row],[Resolution_Time_Min]]&lt;=15,"Very Fast",Table1[[#This Row],[Resolution_Time_Min]]&lt;=30,"Fast",Table1[[#This Row],[Resolution_Time_Min]]&lt;=60,"Moderate",TRUE,"Slow")</f>
        <v>Moderate</v>
      </c>
      <c r="R132" t="str" cm="1">
        <f t="array" ref="R132">_xlfn.IFS(Table1[[#This Row],[CSAT_Score]]&gt;=4,"Satisfied",Table1[[#This Row],[CSAT_Score]]=3,"Neutral",TRUE,"Dissatisfied")</f>
        <v>Dissatisfied</v>
      </c>
      <c r="S132">
        <f>IF(Table1[[#This Row],[Reopen_Flag]]="Yes",1,0)</f>
        <v>1</v>
      </c>
      <c r="T132">
        <f>IF(Table1[[#This Row],[SLA_Status]]="Met",1,0)</f>
        <v>0</v>
      </c>
      <c r="U132">
        <f>IF(Table1[[#This Row],[SLA_Status]]="Met",Table1[[#This Row],[CSAT_Score]]*1,Table1[[#This Row],[CSAT_Score]]*0.5)</f>
        <v>1</v>
      </c>
      <c r="V132" t="str">
        <f>TEXT(Table1[[#This Row],[Ticket_Date]],"yyyy-mmm")</f>
        <v>2024-Feb</v>
      </c>
    </row>
    <row r="133" spans="1:22" x14ac:dyDescent="0.3">
      <c r="A133" t="s">
        <v>169</v>
      </c>
      <c r="B133" s="1">
        <v>45335</v>
      </c>
      <c r="C133" t="s">
        <v>29</v>
      </c>
      <c r="D133" t="s">
        <v>30</v>
      </c>
      <c r="E133" t="s">
        <v>16</v>
      </c>
      <c r="F133" t="s">
        <v>31</v>
      </c>
      <c r="G133" t="s">
        <v>18</v>
      </c>
      <c r="H133" t="s">
        <v>32</v>
      </c>
      <c r="I133" s="2">
        <v>0.43402777777777779</v>
      </c>
      <c r="J133" s="2">
        <v>0.47222222222222221</v>
      </c>
      <c r="K133">
        <v>60</v>
      </c>
      <c r="L133">
        <v>5</v>
      </c>
      <c r="M133" t="s">
        <v>20</v>
      </c>
      <c r="N133" s="3">
        <f>(Table1[[#This Row],[Close_Time]]-Table1[[#This Row],[Open_Time]])*1440</f>
        <v>54.999999999999964</v>
      </c>
      <c r="O133" t="str">
        <f>IF(Table1[[#This Row],[Resolution_Time_Min]]&lt;=Table1[[#This Row],[SLA_Target_Min]],"Met","Breached")</f>
        <v>Met</v>
      </c>
      <c r="P133">
        <f>IF(Table1[[#This Row],[SLA_Status]]="Breached",1,0)</f>
        <v>0</v>
      </c>
      <c r="Q133" t="str" cm="1">
        <f t="array" ref="Q133">_xlfn.IFS(Table1[[#This Row],[Resolution_Time_Min]]&lt;=15,"Very Fast",Table1[[#This Row],[Resolution_Time_Min]]&lt;=30,"Fast",Table1[[#This Row],[Resolution_Time_Min]]&lt;=60,"Moderate",TRUE,"Slow")</f>
        <v>Moderate</v>
      </c>
      <c r="R133" t="str" cm="1">
        <f t="array" ref="R133">_xlfn.IFS(Table1[[#This Row],[CSAT_Score]]&gt;=4,"Satisfied",Table1[[#This Row],[CSAT_Score]]=3,"Neutral",TRUE,"Dissatisfied")</f>
        <v>Satisfied</v>
      </c>
      <c r="S133">
        <f>IF(Table1[[#This Row],[Reopen_Flag]]="Yes",1,0)</f>
        <v>0</v>
      </c>
      <c r="T133">
        <f>IF(Table1[[#This Row],[SLA_Status]]="Met",1,0)</f>
        <v>1</v>
      </c>
      <c r="U133">
        <f>IF(Table1[[#This Row],[SLA_Status]]="Met",Table1[[#This Row],[CSAT_Score]]*1,Table1[[#This Row],[CSAT_Score]]*0.5)</f>
        <v>5</v>
      </c>
      <c r="V133" t="str">
        <f>TEXT(Table1[[#This Row],[Ticket_Date]],"yyyy-mmm")</f>
        <v>2024-Feb</v>
      </c>
    </row>
    <row r="134" spans="1:22" x14ac:dyDescent="0.3">
      <c r="A134" t="s">
        <v>170</v>
      </c>
      <c r="B134" s="1">
        <v>45335</v>
      </c>
      <c r="C134" t="s">
        <v>34</v>
      </c>
      <c r="D134" t="s">
        <v>35</v>
      </c>
      <c r="E134" t="s">
        <v>36</v>
      </c>
      <c r="F134" t="s">
        <v>25</v>
      </c>
      <c r="G134" t="s">
        <v>26</v>
      </c>
      <c r="H134" t="s">
        <v>27</v>
      </c>
      <c r="I134" s="2">
        <v>0.50347222222222221</v>
      </c>
      <c r="J134" s="2">
        <v>0.53125</v>
      </c>
      <c r="K134">
        <v>40</v>
      </c>
      <c r="L134">
        <v>4</v>
      </c>
      <c r="M134" t="s">
        <v>20</v>
      </c>
      <c r="N134" s="3">
        <f>(Table1[[#This Row],[Close_Time]]-Table1[[#This Row],[Open_Time]])*1440</f>
        <v>40.000000000000014</v>
      </c>
      <c r="O134" t="str">
        <f>IF(Table1[[#This Row],[Resolution_Time_Min]]&lt;=Table1[[#This Row],[SLA_Target_Min]],"Met","Breached")</f>
        <v>Met</v>
      </c>
      <c r="P134">
        <f>IF(Table1[[#This Row],[SLA_Status]]="Breached",1,0)</f>
        <v>0</v>
      </c>
      <c r="Q134" t="str" cm="1">
        <f t="array" ref="Q134">_xlfn.IFS(Table1[[#This Row],[Resolution_Time_Min]]&lt;=15,"Very Fast",Table1[[#This Row],[Resolution_Time_Min]]&lt;=30,"Fast",Table1[[#This Row],[Resolution_Time_Min]]&lt;=60,"Moderate",TRUE,"Slow")</f>
        <v>Moderate</v>
      </c>
      <c r="R134" t="str" cm="1">
        <f t="array" ref="R134">_xlfn.IFS(Table1[[#This Row],[CSAT_Score]]&gt;=4,"Satisfied",Table1[[#This Row],[CSAT_Score]]=3,"Neutral",TRUE,"Dissatisfied")</f>
        <v>Satisfied</v>
      </c>
      <c r="S134">
        <f>IF(Table1[[#This Row],[Reopen_Flag]]="Yes",1,0)</f>
        <v>0</v>
      </c>
      <c r="T134">
        <f>IF(Table1[[#This Row],[SLA_Status]]="Met",1,0)</f>
        <v>1</v>
      </c>
      <c r="U134">
        <f>IF(Table1[[#This Row],[SLA_Status]]="Met",Table1[[#This Row],[CSAT_Score]]*1,Table1[[#This Row],[CSAT_Score]]*0.5)</f>
        <v>4</v>
      </c>
      <c r="V134" t="str">
        <f>TEXT(Table1[[#This Row],[Ticket_Date]],"yyyy-mmm")</f>
        <v>2024-Feb</v>
      </c>
    </row>
    <row r="135" spans="1:22" x14ac:dyDescent="0.3">
      <c r="A135" t="s">
        <v>171</v>
      </c>
      <c r="B135" s="1">
        <v>45336</v>
      </c>
      <c r="C135" t="s">
        <v>14</v>
      </c>
      <c r="D135" t="s">
        <v>15</v>
      </c>
      <c r="E135" t="s">
        <v>16</v>
      </c>
      <c r="F135" t="s">
        <v>17</v>
      </c>
      <c r="G135" t="s">
        <v>18</v>
      </c>
      <c r="H135" t="s">
        <v>27</v>
      </c>
      <c r="I135" s="2">
        <v>0.38541666666666669</v>
      </c>
      <c r="J135" s="2">
        <v>0.41319444444444442</v>
      </c>
      <c r="K135">
        <v>40</v>
      </c>
      <c r="L135">
        <v>4</v>
      </c>
      <c r="M135" t="s">
        <v>20</v>
      </c>
      <c r="N135" s="3">
        <f>(Table1[[#This Row],[Close_Time]]-Table1[[#This Row],[Open_Time]])*1440</f>
        <v>39.999999999999936</v>
      </c>
      <c r="O135" t="str">
        <f>IF(Table1[[#This Row],[Resolution_Time_Min]]&lt;=Table1[[#This Row],[SLA_Target_Min]],"Met","Breached")</f>
        <v>Met</v>
      </c>
      <c r="P135">
        <f>IF(Table1[[#This Row],[SLA_Status]]="Breached",1,0)</f>
        <v>0</v>
      </c>
      <c r="Q135" t="str" cm="1">
        <f t="array" ref="Q135">_xlfn.IFS(Table1[[#This Row],[Resolution_Time_Min]]&lt;=15,"Very Fast",Table1[[#This Row],[Resolution_Time_Min]]&lt;=30,"Fast",Table1[[#This Row],[Resolution_Time_Min]]&lt;=60,"Moderate",TRUE,"Slow")</f>
        <v>Moderate</v>
      </c>
      <c r="R135" t="str" cm="1">
        <f t="array" ref="R135">_xlfn.IFS(Table1[[#This Row],[CSAT_Score]]&gt;=4,"Satisfied",Table1[[#This Row],[CSAT_Score]]=3,"Neutral",TRUE,"Dissatisfied")</f>
        <v>Satisfied</v>
      </c>
      <c r="S135">
        <f>IF(Table1[[#This Row],[Reopen_Flag]]="Yes",1,0)</f>
        <v>0</v>
      </c>
      <c r="T135">
        <f>IF(Table1[[#This Row],[SLA_Status]]="Met",1,0)</f>
        <v>1</v>
      </c>
      <c r="U135">
        <f>IF(Table1[[#This Row],[SLA_Status]]="Met",Table1[[#This Row],[CSAT_Score]]*1,Table1[[#This Row],[CSAT_Score]]*0.5)</f>
        <v>4</v>
      </c>
      <c r="V135" t="str">
        <f>TEXT(Table1[[#This Row],[Ticket_Date]],"yyyy-mmm")</f>
        <v>2024-Feb</v>
      </c>
    </row>
    <row r="136" spans="1:22" x14ac:dyDescent="0.3">
      <c r="A136" t="s">
        <v>172</v>
      </c>
      <c r="B136" s="1">
        <v>45336</v>
      </c>
      <c r="C136" t="s">
        <v>22</v>
      </c>
      <c r="D136" t="s">
        <v>23</v>
      </c>
      <c r="E136" t="s">
        <v>24</v>
      </c>
      <c r="F136" t="s">
        <v>25</v>
      </c>
      <c r="G136" t="s">
        <v>26</v>
      </c>
      <c r="H136" t="s">
        <v>32</v>
      </c>
      <c r="I136" s="2">
        <v>0.44444444444444442</v>
      </c>
      <c r="J136" s="2">
        <v>0.47916666666666669</v>
      </c>
      <c r="K136">
        <v>60</v>
      </c>
      <c r="L136">
        <v>5</v>
      </c>
      <c r="M136" t="s">
        <v>20</v>
      </c>
      <c r="N136" s="3">
        <f>(Table1[[#This Row],[Close_Time]]-Table1[[#This Row],[Open_Time]])*1440</f>
        <v>50.000000000000064</v>
      </c>
      <c r="O136" t="str">
        <f>IF(Table1[[#This Row],[Resolution_Time_Min]]&lt;=Table1[[#This Row],[SLA_Target_Min]],"Met","Breached")</f>
        <v>Met</v>
      </c>
      <c r="P136">
        <f>IF(Table1[[#This Row],[SLA_Status]]="Breached",1,0)</f>
        <v>0</v>
      </c>
      <c r="Q136" t="str" cm="1">
        <f t="array" ref="Q136">_xlfn.IFS(Table1[[#This Row],[Resolution_Time_Min]]&lt;=15,"Very Fast",Table1[[#This Row],[Resolution_Time_Min]]&lt;=30,"Fast",Table1[[#This Row],[Resolution_Time_Min]]&lt;=60,"Moderate",TRUE,"Slow")</f>
        <v>Moderate</v>
      </c>
      <c r="R136" t="str" cm="1">
        <f t="array" ref="R136">_xlfn.IFS(Table1[[#This Row],[CSAT_Score]]&gt;=4,"Satisfied",Table1[[#This Row],[CSAT_Score]]=3,"Neutral",TRUE,"Dissatisfied")</f>
        <v>Satisfied</v>
      </c>
      <c r="S136">
        <f>IF(Table1[[#This Row],[Reopen_Flag]]="Yes",1,0)</f>
        <v>0</v>
      </c>
      <c r="T136">
        <f>IF(Table1[[#This Row],[SLA_Status]]="Met",1,0)</f>
        <v>1</v>
      </c>
      <c r="U136">
        <f>IF(Table1[[#This Row],[SLA_Status]]="Met",Table1[[#This Row],[CSAT_Score]]*1,Table1[[#This Row],[CSAT_Score]]*0.5)</f>
        <v>5</v>
      </c>
      <c r="V136" t="str">
        <f>TEXT(Table1[[#This Row],[Ticket_Date]],"yyyy-mmm")</f>
        <v>2024-Feb</v>
      </c>
    </row>
    <row r="137" spans="1:22" x14ac:dyDescent="0.3">
      <c r="A137" t="s">
        <v>173</v>
      </c>
      <c r="B137" s="1">
        <v>45336</v>
      </c>
      <c r="C137" t="s">
        <v>41</v>
      </c>
      <c r="D137" t="s">
        <v>42</v>
      </c>
      <c r="E137" t="s">
        <v>36</v>
      </c>
      <c r="F137" t="s">
        <v>17</v>
      </c>
      <c r="G137" t="s">
        <v>26</v>
      </c>
      <c r="H137" t="s">
        <v>19</v>
      </c>
      <c r="I137" s="2">
        <v>0.50694444444444442</v>
      </c>
      <c r="J137" s="2">
        <v>0.54513888888888884</v>
      </c>
      <c r="K137">
        <v>30</v>
      </c>
      <c r="L137">
        <v>2</v>
      </c>
      <c r="M137" t="s">
        <v>37</v>
      </c>
      <c r="N137" s="3">
        <f>(Table1[[#This Row],[Close_Time]]-Table1[[#This Row],[Open_Time]])*1440</f>
        <v>54.999999999999964</v>
      </c>
      <c r="O137" t="str">
        <f>IF(Table1[[#This Row],[Resolution_Time_Min]]&lt;=Table1[[#This Row],[SLA_Target_Min]],"Met","Breached")</f>
        <v>Breached</v>
      </c>
      <c r="P137">
        <f>IF(Table1[[#This Row],[SLA_Status]]="Breached",1,0)</f>
        <v>1</v>
      </c>
      <c r="Q137" t="str" cm="1">
        <f t="array" ref="Q137">_xlfn.IFS(Table1[[#This Row],[Resolution_Time_Min]]&lt;=15,"Very Fast",Table1[[#This Row],[Resolution_Time_Min]]&lt;=30,"Fast",Table1[[#This Row],[Resolution_Time_Min]]&lt;=60,"Moderate",TRUE,"Slow")</f>
        <v>Moderate</v>
      </c>
      <c r="R137" t="str" cm="1">
        <f t="array" ref="R137">_xlfn.IFS(Table1[[#This Row],[CSAT_Score]]&gt;=4,"Satisfied",Table1[[#This Row],[CSAT_Score]]=3,"Neutral",TRUE,"Dissatisfied")</f>
        <v>Dissatisfied</v>
      </c>
      <c r="S137">
        <f>IF(Table1[[#This Row],[Reopen_Flag]]="Yes",1,0)</f>
        <v>1</v>
      </c>
      <c r="T137">
        <f>IF(Table1[[#This Row],[SLA_Status]]="Met",1,0)</f>
        <v>0</v>
      </c>
      <c r="U137">
        <f>IF(Table1[[#This Row],[SLA_Status]]="Met",Table1[[#This Row],[CSAT_Score]]*1,Table1[[#This Row],[CSAT_Score]]*0.5)</f>
        <v>1</v>
      </c>
      <c r="V137" t="str">
        <f>TEXT(Table1[[#This Row],[Ticket_Date]],"yyyy-mmm")</f>
        <v>2024-Feb</v>
      </c>
    </row>
    <row r="138" spans="1:22" x14ac:dyDescent="0.3">
      <c r="A138" t="s">
        <v>174</v>
      </c>
      <c r="B138" s="1">
        <v>45337</v>
      </c>
      <c r="C138" t="s">
        <v>44</v>
      </c>
      <c r="D138" t="s">
        <v>45</v>
      </c>
      <c r="E138" t="s">
        <v>16</v>
      </c>
      <c r="F138" t="s">
        <v>31</v>
      </c>
      <c r="G138" t="s">
        <v>18</v>
      </c>
      <c r="H138" t="s">
        <v>32</v>
      </c>
      <c r="I138" s="2">
        <v>0.38194444444444442</v>
      </c>
      <c r="J138" s="2">
        <v>0.4201388888888889</v>
      </c>
      <c r="K138">
        <v>60</v>
      </c>
      <c r="L138">
        <v>5</v>
      </c>
      <c r="M138" t="s">
        <v>20</v>
      </c>
      <c r="N138" s="3">
        <f>(Table1[[#This Row],[Close_Time]]-Table1[[#This Row],[Open_Time]])*1440</f>
        <v>55.000000000000043</v>
      </c>
      <c r="O138" t="str">
        <f>IF(Table1[[#This Row],[Resolution_Time_Min]]&lt;=Table1[[#This Row],[SLA_Target_Min]],"Met","Breached")</f>
        <v>Met</v>
      </c>
      <c r="P138">
        <f>IF(Table1[[#This Row],[SLA_Status]]="Breached",1,0)</f>
        <v>0</v>
      </c>
      <c r="Q138" t="str" cm="1">
        <f t="array" ref="Q138">_xlfn.IFS(Table1[[#This Row],[Resolution_Time_Min]]&lt;=15,"Very Fast",Table1[[#This Row],[Resolution_Time_Min]]&lt;=30,"Fast",Table1[[#This Row],[Resolution_Time_Min]]&lt;=60,"Moderate",TRUE,"Slow")</f>
        <v>Moderate</v>
      </c>
      <c r="R138" t="str" cm="1">
        <f t="array" ref="R138">_xlfn.IFS(Table1[[#This Row],[CSAT_Score]]&gt;=4,"Satisfied",Table1[[#This Row],[CSAT_Score]]=3,"Neutral",TRUE,"Dissatisfied")</f>
        <v>Satisfied</v>
      </c>
      <c r="S138">
        <f>IF(Table1[[#This Row],[Reopen_Flag]]="Yes",1,0)</f>
        <v>0</v>
      </c>
      <c r="T138">
        <f>IF(Table1[[#This Row],[SLA_Status]]="Met",1,0)</f>
        <v>1</v>
      </c>
      <c r="U138">
        <f>IF(Table1[[#This Row],[SLA_Status]]="Met",Table1[[#This Row],[CSAT_Score]]*1,Table1[[#This Row],[CSAT_Score]]*0.5)</f>
        <v>5</v>
      </c>
      <c r="V138" t="str">
        <f>TEXT(Table1[[#This Row],[Ticket_Date]],"yyyy-mmm")</f>
        <v>2024-Feb</v>
      </c>
    </row>
    <row r="139" spans="1:22" x14ac:dyDescent="0.3">
      <c r="A139" t="s">
        <v>175</v>
      </c>
      <c r="B139" s="1">
        <v>45337</v>
      </c>
      <c r="C139" t="s">
        <v>29</v>
      </c>
      <c r="D139" t="s">
        <v>30</v>
      </c>
      <c r="E139" t="s">
        <v>16</v>
      </c>
      <c r="F139" t="s">
        <v>17</v>
      </c>
      <c r="G139" t="s">
        <v>18</v>
      </c>
      <c r="H139" t="s">
        <v>27</v>
      </c>
      <c r="I139" s="2">
        <v>0.44097222222222221</v>
      </c>
      <c r="J139" s="2">
        <v>0.47222222222222221</v>
      </c>
      <c r="K139">
        <v>40</v>
      </c>
      <c r="L139">
        <v>4</v>
      </c>
      <c r="M139" t="s">
        <v>20</v>
      </c>
      <c r="N139" s="3">
        <f>(Table1[[#This Row],[Close_Time]]-Table1[[#This Row],[Open_Time]])*1440</f>
        <v>45</v>
      </c>
      <c r="O139" t="str">
        <f>IF(Table1[[#This Row],[Resolution_Time_Min]]&lt;=Table1[[#This Row],[SLA_Target_Min]],"Met","Breached")</f>
        <v>Breached</v>
      </c>
      <c r="P139">
        <f>IF(Table1[[#This Row],[SLA_Status]]="Breached",1,0)</f>
        <v>1</v>
      </c>
      <c r="Q139" t="str" cm="1">
        <f t="array" ref="Q139">_xlfn.IFS(Table1[[#This Row],[Resolution_Time_Min]]&lt;=15,"Very Fast",Table1[[#This Row],[Resolution_Time_Min]]&lt;=30,"Fast",Table1[[#This Row],[Resolution_Time_Min]]&lt;=60,"Moderate",TRUE,"Slow")</f>
        <v>Moderate</v>
      </c>
      <c r="R139" t="str" cm="1">
        <f t="array" ref="R139">_xlfn.IFS(Table1[[#This Row],[CSAT_Score]]&gt;=4,"Satisfied",Table1[[#This Row],[CSAT_Score]]=3,"Neutral",TRUE,"Dissatisfied")</f>
        <v>Satisfied</v>
      </c>
      <c r="S139">
        <f>IF(Table1[[#This Row],[Reopen_Flag]]="Yes",1,0)</f>
        <v>0</v>
      </c>
      <c r="T139">
        <f>IF(Table1[[#This Row],[SLA_Status]]="Met",1,0)</f>
        <v>0</v>
      </c>
      <c r="U139">
        <f>IF(Table1[[#This Row],[SLA_Status]]="Met",Table1[[#This Row],[CSAT_Score]]*1,Table1[[#This Row],[CSAT_Score]]*0.5)</f>
        <v>2</v>
      </c>
      <c r="V139" t="str">
        <f>TEXT(Table1[[#This Row],[Ticket_Date]],"yyyy-mmm")</f>
        <v>2024-Feb</v>
      </c>
    </row>
    <row r="140" spans="1:22" x14ac:dyDescent="0.3">
      <c r="A140" t="s">
        <v>176</v>
      </c>
      <c r="B140" s="1">
        <v>45337</v>
      </c>
      <c r="C140" t="s">
        <v>34</v>
      </c>
      <c r="D140" t="s">
        <v>35</v>
      </c>
      <c r="E140" t="s">
        <v>36</v>
      </c>
      <c r="F140" t="s">
        <v>17</v>
      </c>
      <c r="G140" t="s">
        <v>26</v>
      </c>
      <c r="H140" t="s">
        <v>19</v>
      </c>
      <c r="I140" s="2">
        <v>0.50347222222222221</v>
      </c>
      <c r="J140" s="2">
        <v>0.54166666666666663</v>
      </c>
      <c r="K140">
        <v>30</v>
      </c>
      <c r="L140">
        <v>2</v>
      </c>
      <c r="M140" t="s">
        <v>37</v>
      </c>
      <c r="N140" s="3">
        <f>(Table1[[#This Row],[Close_Time]]-Table1[[#This Row],[Open_Time]])*1440</f>
        <v>54.999999999999964</v>
      </c>
      <c r="O140" t="str">
        <f>IF(Table1[[#This Row],[Resolution_Time_Min]]&lt;=Table1[[#This Row],[SLA_Target_Min]],"Met","Breached")</f>
        <v>Breached</v>
      </c>
      <c r="P140">
        <f>IF(Table1[[#This Row],[SLA_Status]]="Breached",1,0)</f>
        <v>1</v>
      </c>
      <c r="Q140" t="str" cm="1">
        <f t="array" ref="Q140">_xlfn.IFS(Table1[[#This Row],[Resolution_Time_Min]]&lt;=15,"Very Fast",Table1[[#This Row],[Resolution_Time_Min]]&lt;=30,"Fast",Table1[[#This Row],[Resolution_Time_Min]]&lt;=60,"Moderate",TRUE,"Slow")</f>
        <v>Moderate</v>
      </c>
      <c r="R140" t="str" cm="1">
        <f t="array" ref="R140">_xlfn.IFS(Table1[[#This Row],[CSAT_Score]]&gt;=4,"Satisfied",Table1[[#This Row],[CSAT_Score]]=3,"Neutral",TRUE,"Dissatisfied")</f>
        <v>Dissatisfied</v>
      </c>
      <c r="S140">
        <f>IF(Table1[[#This Row],[Reopen_Flag]]="Yes",1,0)</f>
        <v>1</v>
      </c>
      <c r="T140">
        <f>IF(Table1[[#This Row],[SLA_Status]]="Met",1,0)</f>
        <v>0</v>
      </c>
      <c r="U140">
        <f>IF(Table1[[#This Row],[SLA_Status]]="Met",Table1[[#This Row],[CSAT_Score]]*1,Table1[[#This Row],[CSAT_Score]]*0.5)</f>
        <v>1</v>
      </c>
      <c r="V140" t="str">
        <f>TEXT(Table1[[#This Row],[Ticket_Date]],"yyyy-mmm")</f>
        <v>2024-Feb</v>
      </c>
    </row>
    <row r="141" spans="1:22" x14ac:dyDescent="0.3">
      <c r="A141" t="s">
        <v>177</v>
      </c>
      <c r="B141" s="1">
        <v>45338</v>
      </c>
      <c r="C141" t="s">
        <v>14</v>
      </c>
      <c r="D141" t="s">
        <v>15</v>
      </c>
      <c r="E141" t="s">
        <v>16</v>
      </c>
      <c r="F141" t="s">
        <v>25</v>
      </c>
      <c r="G141" t="s">
        <v>18</v>
      </c>
      <c r="H141" t="s">
        <v>27</v>
      </c>
      <c r="I141" s="2">
        <v>0.3888888888888889</v>
      </c>
      <c r="J141" s="2">
        <v>0.41666666666666669</v>
      </c>
      <c r="K141">
        <v>40</v>
      </c>
      <c r="L141">
        <v>4</v>
      </c>
      <c r="M141" t="s">
        <v>20</v>
      </c>
      <c r="N141" s="3">
        <f>(Table1[[#This Row],[Close_Time]]-Table1[[#This Row],[Open_Time]])*1440</f>
        <v>40.000000000000014</v>
      </c>
      <c r="O141" t="str">
        <f>IF(Table1[[#This Row],[Resolution_Time_Min]]&lt;=Table1[[#This Row],[SLA_Target_Min]],"Met","Breached")</f>
        <v>Met</v>
      </c>
      <c r="P141">
        <f>IF(Table1[[#This Row],[SLA_Status]]="Breached",1,0)</f>
        <v>0</v>
      </c>
      <c r="Q141" t="str" cm="1">
        <f t="array" ref="Q141">_xlfn.IFS(Table1[[#This Row],[Resolution_Time_Min]]&lt;=15,"Very Fast",Table1[[#This Row],[Resolution_Time_Min]]&lt;=30,"Fast",Table1[[#This Row],[Resolution_Time_Min]]&lt;=60,"Moderate",TRUE,"Slow")</f>
        <v>Moderate</v>
      </c>
      <c r="R141" t="str" cm="1">
        <f t="array" ref="R141">_xlfn.IFS(Table1[[#This Row],[CSAT_Score]]&gt;=4,"Satisfied",Table1[[#This Row],[CSAT_Score]]=3,"Neutral",TRUE,"Dissatisfied")</f>
        <v>Satisfied</v>
      </c>
      <c r="S141">
        <f>IF(Table1[[#This Row],[Reopen_Flag]]="Yes",1,0)</f>
        <v>0</v>
      </c>
      <c r="T141">
        <f>IF(Table1[[#This Row],[SLA_Status]]="Met",1,0)</f>
        <v>1</v>
      </c>
      <c r="U141">
        <f>IF(Table1[[#This Row],[SLA_Status]]="Met",Table1[[#This Row],[CSAT_Score]]*1,Table1[[#This Row],[CSAT_Score]]*0.5)</f>
        <v>4</v>
      </c>
      <c r="V141" t="str">
        <f>TEXT(Table1[[#This Row],[Ticket_Date]],"yyyy-mmm")</f>
        <v>2024-Feb</v>
      </c>
    </row>
    <row r="142" spans="1:22" x14ac:dyDescent="0.3">
      <c r="A142" t="s">
        <v>178</v>
      </c>
      <c r="B142" s="1">
        <v>45338</v>
      </c>
      <c r="C142" t="s">
        <v>22</v>
      </c>
      <c r="D142" t="s">
        <v>23</v>
      </c>
      <c r="E142" t="s">
        <v>24</v>
      </c>
      <c r="F142" t="s">
        <v>31</v>
      </c>
      <c r="G142" t="s">
        <v>18</v>
      </c>
      <c r="H142" t="s">
        <v>32</v>
      </c>
      <c r="I142" s="2">
        <v>0.4375</v>
      </c>
      <c r="J142" s="2">
        <v>0.47569444444444442</v>
      </c>
      <c r="K142">
        <v>60</v>
      </c>
      <c r="L142">
        <v>5</v>
      </c>
      <c r="M142" t="s">
        <v>20</v>
      </c>
      <c r="N142" s="3">
        <f>(Table1[[#This Row],[Close_Time]]-Table1[[#This Row],[Open_Time]])*1440</f>
        <v>54.999999999999964</v>
      </c>
      <c r="O142" t="str">
        <f>IF(Table1[[#This Row],[Resolution_Time_Min]]&lt;=Table1[[#This Row],[SLA_Target_Min]],"Met","Breached")</f>
        <v>Met</v>
      </c>
      <c r="P142">
        <f>IF(Table1[[#This Row],[SLA_Status]]="Breached",1,0)</f>
        <v>0</v>
      </c>
      <c r="Q142" t="str" cm="1">
        <f t="array" ref="Q142">_xlfn.IFS(Table1[[#This Row],[Resolution_Time_Min]]&lt;=15,"Very Fast",Table1[[#This Row],[Resolution_Time_Min]]&lt;=30,"Fast",Table1[[#This Row],[Resolution_Time_Min]]&lt;=60,"Moderate",TRUE,"Slow")</f>
        <v>Moderate</v>
      </c>
      <c r="R142" t="str" cm="1">
        <f t="array" ref="R142">_xlfn.IFS(Table1[[#This Row],[CSAT_Score]]&gt;=4,"Satisfied",Table1[[#This Row],[CSAT_Score]]=3,"Neutral",TRUE,"Dissatisfied")</f>
        <v>Satisfied</v>
      </c>
      <c r="S142">
        <f>IF(Table1[[#This Row],[Reopen_Flag]]="Yes",1,0)</f>
        <v>0</v>
      </c>
      <c r="T142">
        <f>IF(Table1[[#This Row],[SLA_Status]]="Met",1,0)</f>
        <v>1</v>
      </c>
      <c r="U142">
        <f>IF(Table1[[#This Row],[SLA_Status]]="Met",Table1[[#This Row],[CSAT_Score]]*1,Table1[[#This Row],[CSAT_Score]]*0.5)</f>
        <v>5</v>
      </c>
      <c r="V142" t="str">
        <f>TEXT(Table1[[#This Row],[Ticket_Date]],"yyyy-mmm")</f>
        <v>2024-Feb</v>
      </c>
    </row>
    <row r="143" spans="1:22" x14ac:dyDescent="0.3">
      <c r="A143" t="s">
        <v>179</v>
      </c>
      <c r="B143" s="1">
        <v>45338</v>
      </c>
      <c r="C143" t="s">
        <v>41</v>
      </c>
      <c r="D143" t="s">
        <v>42</v>
      </c>
      <c r="E143" t="s">
        <v>36</v>
      </c>
      <c r="F143" t="s">
        <v>17</v>
      </c>
      <c r="G143" t="s">
        <v>26</v>
      </c>
      <c r="H143" t="s">
        <v>27</v>
      </c>
      <c r="I143" s="2">
        <v>0.51041666666666663</v>
      </c>
      <c r="J143" s="2">
        <v>0.53819444444444442</v>
      </c>
      <c r="K143">
        <v>40</v>
      </c>
      <c r="L143">
        <v>3</v>
      </c>
      <c r="M143" t="s">
        <v>20</v>
      </c>
      <c r="N143" s="3">
        <f>(Table1[[#This Row],[Close_Time]]-Table1[[#This Row],[Open_Time]])*1440</f>
        <v>40.000000000000014</v>
      </c>
      <c r="O143" t="str">
        <f>IF(Table1[[#This Row],[Resolution_Time_Min]]&lt;=Table1[[#This Row],[SLA_Target_Min]],"Met","Breached")</f>
        <v>Met</v>
      </c>
      <c r="P143">
        <f>IF(Table1[[#This Row],[SLA_Status]]="Breached",1,0)</f>
        <v>0</v>
      </c>
      <c r="Q143" t="str" cm="1">
        <f t="array" ref="Q143">_xlfn.IFS(Table1[[#This Row],[Resolution_Time_Min]]&lt;=15,"Very Fast",Table1[[#This Row],[Resolution_Time_Min]]&lt;=30,"Fast",Table1[[#This Row],[Resolution_Time_Min]]&lt;=60,"Moderate",TRUE,"Slow")</f>
        <v>Moderate</v>
      </c>
      <c r="R143" t="str" cm="1">
        <f t="array" ref="R143">_xlfn.IFS(Table1[[#This Row],[CSAT_Score]]&gt;=4,"Satisfied",Table1[[#This Row],[CSAT_Score]]=3,"Neutral",TRUE,"Dissatisfied")</f>
        <v>Neutral</v>
      </c>
      <c r="S143">
        <f>IF(Table1[[#This Row],[Reopen_Flag]]="Yes",1,0)</f>
        <v>0</v>
      </c>
      <c r="T143">
        <f>IF(Table1[[#This Row],[SLA_Status]]="Met",1,0)</f>
        <v>1</v>
      </c>
      <c r="U143">
        <f>IF(Table1[[#This Row],[SLA_Status]]="Met",Table1[[#This Row],[CSAT_Score]]*1,Table1[[#This Row],[CSAT_Score]]*0.5)</f>
        <v>3</v>
      </c>
      <c r="V143" t="str">
        <f>TEXT(Table1[[#This Row],[Ticket_Date]],"yyyy-mmm")</f>
        <v>2024-Feb</v>
      </c>
    </row>
    <row r="144" spans="1:22" x14ac:dyDescent="0.3">
      <c r="A144" t="s">
        <v>180</v>
      </c>
      <c r="B144" s="1">
        <v>45339</v>
      </c>
      <c r="C144" t="s">
        <v>44</v>
      </c>
      <c r="D144" t="s">
        <v>45</v>
      </c>
      <c r="E144" t="s">
        <v>16</v>
      </c>
      <c r="F144" t="s">
        <v>17</v>
      </c>
      <c r="G144" t="s">
        <v>18</v>
      </c>
      <c r="H144" t="s">
        <v>19</v>
      </c>
      <c r="I144" s="2">
        <v>0.37847222222222221</v>
      </c>
      <c r="J144" s="2">
        <v>0.41666666666666669</v>
      </c>
      <c r="K144">
        <v>30</v>
      </c>
      <c r="L144">
        <v>2</v>
      </c>
      <c r="M144" t="s">
        <v>37</v>
      </c>
      <c r="N144" s="3">
        <f>(Table1[[#This Row],[Close_Time]]-Table1[[#This Row],[Open_Time]])*1440</f>
        <v>55.000000000000043</v>
      </c>
      <c r="O144" t="str">
        <f>IF(Table1[[#This Row],[Resolution_Time_Min]]&lt;=Table1[[#This Row],[SLA_Target_Min]],"Met","Breached")</f>
        <v>Breached</v>
      </c>
      <c r="P144">
        <f>IF(Table1[[#This Row],[SLA_Status]]="Breached",1,0)</f>
        <v>1</v>
      </c>
      <c r="Q144" t="str" cm="1">
        <f t="array" ref="Q144">_xlfn.IFS(Table1[[#This Row],[Resolution_Time_Min]]&lt;=15,"Very Fast",Table1[[#This Row],[Resolution_Time_Min]]&lt;=30,"Fast",Table1[[#This Row],[Resolution_Time_Min]]&lt;=60,"Moderate",TRUE,"Slow")</f>
        <v>Moderate</v>
      </c>
      <c r="R144" t="str" cm="1">
        <f t="array" ref="R144">_xlfn.IFS(Table1[[#This Row],[CSAT_Score]]&gt;=4,"Satisfied",Table1[[#This Row],[CSAT_Score]]=3,"Neutral",TRUE,"Dissatisfied")</f>
        <v>Dissatisfied</v>
      </c>
      <c r="S144">
        <f>IF(Table1[[#This Row],[Reopen_Flag]]="Yes",1,0)</f>
        <v>1</v>
      </c>
      <c r="T144">
        <f>IF(Table1[[#This Row],[SLA_Status]]="Met",1,0)</f>
        <v>0</v>
      </c>
      <c r="U144">
        <f>IF(Table1[[#This Row],[SLA_Status]]="Met",Table1[[#This Row],[CSAT_Score]]*1,Table1[[#This Row],[CSAT_Score]]*0.5)</f>
        <v>1</v>
      </c>
      <c r="V144" t="str">
        <f>TEXT(Table1[[#This Row],[Ticket_Date]],"yyyy-mmm")</f>
        <v>2024-Feb</v>
      </c>
    </row>
    <row r="145" spans="1:22" x14ac:dyDescent="0.3">
      <c r="A145" t="s">
        <v>181</v>
      </c>
      <c r="B145" s="1">
        <v>45339</v>
      </c>
      <c r="C145" t="s">
        <v>29</v>
      </c>
      <c r="D145" t="s">
        <v>30</v>
      </c>
      <c r="E145" t="s">
        <v>16</v>
      </c>
      <c r="F145" t="s">
        <v>31</v>
      </c>
      <c r="G145" t="s">
        <v>18</v>
      </c>
      <c r="H145" t="s">
        <v>32</v>
      </c>
      <c r="I145" s="2">
        <v>0.43402777777777779</v>
      </c>
      <c r="J145" s="2">
        <v>0.47222222222222221</v>
      </c>
      <c r="K145">
        <v>60</v>
      </c>
      <c r="L145">
        <v>5</v>
      </c>
      <c r="M145" t="s">
        <v>20</v>
      </c>
      <c r="N145" s="3">
        <f>(Table1[[#This Row],[Close_Time]]-Table1[[#This Row],[Open_Time]])*1440</f>
        <v>54.999999999999964</v>
      </c>
      <c r="O145" t="str">
        <f>IF(Table1[[#This Row],[Resolution_Time_Min]]&lt;=Table1[[#This Row],[SLA_Target_Min]],"Met","Breached")</f>
        <v>Met</v>
      </c>
      <c r="P145">
        <f>IF(Table1[[#This Row],[SLA_Status]]="Breached",1,0)</f>
        <v>0</v>
      </c>
      <c r="Q145" t="str" cm="1">
        <f t="array" ref="Q145">_xlfn.IFS(Table1[[#This Row],[Resolution_Time_Min]]&lt;=15,"Very Fast",Table1[[#This Row],[Resolution_Time_Min]]&lt;=30,"Fast",Table1[[#This Row],[Resolution_Time_Min]]&lt;=60,"Moderate",TRUE,"Slow")</f>
        <v>Moderate</v>
      </c>
      <c r="R145" t="str" cm="1">
        <f t="array" ref="R145">_xlfn.IFS(Table1[[#This Row],[CSAT_Score]]&gt;=4,"Satisfied",Table1[[#This Row],[CSAT_Score]]=3,"Neutral",TRUE,"Dissatisfied")</f>
        <v>Satisfied</v>
      </c>
      <c r="S145">
        <f>IF(Table1[[#This Row],[Reopen_Flag]]="Yes",1,0)</f>
        <v>0</v>
      </c>
      <c r="T145">
        <f>IF(Table1[[#This Row],[SLA_Status]]="Met",1,0)</f>
        <v>1</v>
      </c>
      <c r="U145">
        <f>IF(Table1[[#This Row],[SLA_Status]]="Met",Table1[[#This Row],[CSAT_Score]]*1,Table1[[#This Row],[CSAT_Score]]*0.5)</f>
        <v>5</v>
      </c>
      <c r="V145" t="str">
        <f>TEXT(Table1[[#This Row],[Ticket_Date]],"yyyy-mmm")</f>
        <v>2024-Feb</v>
      </c>
    </row>
    <row r="146" spans="1:22" x14ac:dyDescent="0.3">
      <c r="A146" t="s">
        <v>182</v>
      </c>
      <c r="B146" s="1">
        <v>45339</v>
      </c>
      <c r="C146" t="s">
        <v>34</v>
      </c>
      <c r="D146" t="s">
        <v>35</v>
      </c>
      <c r="E146" t="s">
        <v>36</v>
      </c>
      <c r="F146" t="s">
        <v>25</v>
      </c>
      <c r="G146" t="s">
        <v>26</v>
      </c>
      <c r="H146" t="s">
        <v>27</v>
      </c>
      <c r="I146" s="2">
        <v>0.50347222222222221</v>
      </c>
      <c r="J146" s="2">
        <v>0.53125</v>
      </c>
      <c r="K146">
        <v>40</v>
      </c>
      <c r="L146">
        <v>4</v>
      </c>
      <c r="M146" t="s">
        <v>20</v>
      </c>
      <c r="N146" s="3">
        <f>(Table1[[#This Row],[Close_Time]]-Table1[[#This Row],[Open_Time]])*1440</f>
        <v>40.000000000000014</v>
      </c>
      <c r="O146" t="str">
        <f>IF(Table1[[#This Row],[Resolution_Time_Min]]&lt;=Table1[[#This Row],[SLA_Target_Min]],"Met","Breached")</f>
        <v>Met</v>
      </c>
      <c r="P146">
        <f>IF(Table1[[#This Row],[SLA_Status]]="Breached",1,0)</f>
        <v>0</v>
      </c>
      <c r="Q146" t="str" cm="1">
        <f t="array" ref="Q146">_xlfn.IFS(Table1[[#This Row],[Resolution_Time_Min]]&lt;=15,"Very Fast",Table1[[#This Row],[Resolution_Time_Min]]&lt;=30,"Fast",Table1[[#This Row],[Resolution_Time_Min]]&lt;=60,"Moderate",TRUE,"Slow")</f>
        <v>Moderate</v>
      </c>
      <c r="R146" t="str" cm="1">
        <f t="array" ref="R146">_xlfn.IFS(Table1[[#This Row],[CSAT_Score]]&gt;=4,"Satisfied",Table1[[#This Row],[CSAT_Score]]=3,"Neutral",TRUE,"Dissatisfied")</f>
        <v>Satisfied</v>
      </c>
      <c r="S146">
        <f>IF(Table1[[#This Row],[Reopen_Flag]]="Yes",1,0)</f>
        <v>0</v>
      </c>
      <c r="T146">
        <f>IF(Table1[[#This Row],[SLA_Status]]="Met",1,0)</f>
        <v>1</v>
      </c>
      <c r="U146">
        <f>IF(Table1[[#This Row],[SLA_Status]]="Met",Table1[[#This Row],[CSAT_Score]]*1,Table1[[#This Row],[CSAT_Score]]*0.5)</f>
        <v>4</v>
      </c>
      <c r="V146" t="str">
        <f>TEXT(Table1[[#This Row],[Ticket_Date]],"yyyy-mmm")</f>
        <v>2024-Feb</v>
      </c>
    </row>
    <row r="147" spans="1:22" x14ac:dyDescent="0.3">
      <c r="A147" t="s">
        <v>183</v>
      </c>
      <c r="B147" s="1">
        <v>45340</v>
      </c>
      <c r="C147" t="s">
        <v>14</v>
      </c>
      <c r="D147" t="s">
        <v>15</v>
      </c>
      <c r="E147" t="s">
        <v>16</v>
      </c>
      <c r="F147" t="s">
        <v>17</v>
      </c>
      <c r="G147" t="s">
        <v>18</v>
      </c>
      <c r="H147" t="s">
        <v>27</v>
      </c>
      <c r="I147" s="2">
        <v>0.38541666666666669</v>
      </c>
      <c r="J147" s="2">
        <v>0.41319444444444442</v>
      </c>
      <c r="K147">
        <v>40</v>
      </c>
      <c r="L147">
        <v>4</v>
      </c>
      <c r="M147" t="s">
        <v>20</v>
      </c>
      <c r="N147" s="3">
        <f>(Table1[[#This Row],[Close_Time]]-Table1[[#This Row],[Open_Time]])*1440</f>
        <v>39.999999999999936</v>
      </c>
      <c r="O147" t="str">
        <f>IF(Table1[[#This Row],[Resolution_Time_Min]]&lt;=Table1[[#This Row],[SLA_Target_Min]],"Met","Breached")</f>
        <v>Met</v>
      </c>
      <c r="P147">
        <f>IF(Table1[[#This Row],[SLA_Status]]="Breached",1,0)</f>
        <v>0</v>
      </c>
      <c r="Q147" t="str" cm="1">
        <f t="array" ref="Q147">_xlfn.IFS(Table1[[#This Row],[Resolution_Time_Min]]&lt;=15,"Very Fast",Table1[[#This Row],[Resolution_Time_Min]]&lt;=30,"Fast",Table1[[#This Row],[Resolution_Time_Min]]&lt;=60,"Moderate",TRUE,"Slow")</f>
        <v>Moderate</v>
      </c>
      <c r="R147" t="str" cm="1">
        <f t="array" ref="R147">_xlfn.IFS(Table1[[#This Row],[CSAT_Score]]&gt;=4,"Satisfied",Table1[[#This Row],[CSAT_Score]]=3,"Neutral",TRUE,"Dissatisfied")</f>
        <v>Satisfied</v>
      </c>
      <c r="S147">
        <f>IF(Table1[[#This Row],[Reopen_Flag]]="Yes",1,0)</f>
        <v>0</v>
      </c>
      <c r="T147">
        <f>IF(Table1[[#This Row],[SLA_Status]]="Met",1,0)</f>
        <v>1</v>
      </c>
      <c r="U147">
        <f>IF(Table1[[#This Row],[SLA_Status]]="Met",Table1[[#This Row],[CSAT_Score]]*1,Table1[[#This Row],[CSAT_Score]]*0.5)</f>
        <v>4</v>
      </c>
      <c r="V147" t="str">
        <f>TEXT(Table1[[#This Row],[Ticket_Date]],"yyyy-mmm")</f>
        <v>2024-Feb</v>
      </c>
    </row>
    <row r="148" spans="1:22" x14ac:dyDescent="0.3">
      <c r="A148" t="s">
        <v>184</v>
      </c>
      <c r="B148" s="1">
        <v>45340</v>
      </c>
      <c r="C148" t="s">
        <v>22</v>
      </c>
      <c r="D148" t="s">
        <v>23</v>
      </c>
      <c r="E148" t="s">
        <v>24</v>
      </c>
      <c r="F148" t="s">
        <v>25</v>
      </c>
      <c r="G148" t="s">
        <v>26</v>
      </c>
      <c r="H148" t="s">
        <v>32</v>
      </c>
      <c r="I148" s="2">
        <v>0.44444444444444442</v>
      </c>
      <c r="J148" s="2">
        <v>0.47916666666666669</v>
      </c>
      <c r="K148">
        <v>60</v>
      </c>
      <c r="L148">
        <v>5</v>
      </c>
      <c r="M148" t="s">
        <v>20</v>
      </c>
      <c r="N148" s="3">
        <f>(Table1[[#This Row],[Close_Time]]-Table1[[#This Row],[Open_Time]])*1440</f>
        <v>50.000000000000064</v>
      </c>
      <c r="O148" t="str">
        <f>IF(Table1[[#This Row],[Resolution_Time_Min]]&lt;=Table1[[#This Row],[SLA_Target_Min]],"Met","Breached")</f>
        <v>Met</v>
      </c>
      <c r="P148">
        <f>IF(Table1[[#This Row],[SLA_Status]]="Breached",1,0)</f>
        <v>0</v>
      </c>
      <c r="Q148" t="str" cm="1">
        <f t="array" ref="Q148">_xlfn.IFS(Table1[[#This Row],[Resolution_Time_Min]]&lt;=15,"Very Fast",Table1[[#This Row],[Resolution_Time_Min]]&lt;=30,"Fast",Table1[[#This Row],[Resolution_Time_Min]]&lt;=60,"Moderate",TRUE,"Slow")</f>
        <v>Moderate</v>
      </c>
      <c r="R148" t="str" cm="1">
        <f t="array" ref="R148">_xlfn.IFS(Table1[[#This Row],[CSAT_Score]]&gt;=4,"Satisfied",Table1[[#This Row],[CSAT_Score]]=3,"Neutral",TRUE,"Dissatisfied")</f>
        <v>Satisfied</v>
      </c>
      <c r="S148">
        <f>IF(Table1[[#This Row],[Reopen_Flag]]="Yes",1,0)</f>
        <v>0</v>
      </c>
      <c r="T148">
        <f>IF(Table1[[#This Row],[SLA_Status]]="Met",1,0)</f>
        <v>1</v>
      </c>
      <c r="U148">
        <f>IF(Table1[[#This Row],[SLA_Status]]="Met",Table1[[#This Row],[CSAT_Score]]*1,Table1[[#This Row],[CSAT_Score]]*0.5)</f>
        <v>5</v>
      </c>
      <c r="V148" t="str">
        <f>TEXT(Table1[[#This Row],[Ticket_Date]],"yyyy-mmm")</f>
        <v>2024-Feb</v>
      </c>
    </row>
    <row r="149" spans="1:22" x14ac:dyDescent="0.3">
      <c r="A149" t="s">
        <v>185</v>
      </c>
      <c r="B149" s="1">
        <v>45340</v>
      </c>
      <c r="C149" t="s">
        <v>41</v>
      </c>
      <c r="D149" t="s">
        <v>42</v>
      </c>
      <c r="E149" t="s">
        <v>36</v>
      </c>
      <c r="F149" t="s">
        <v>17</v>
      </c>
      <c r="G149" t="s">
        <v>26</v>
      </c>
      <c r="H149" t="s">
        <v>19</v>
      </c>
      <c r="I149" s="2">
        <v>0.50694444444444442</v>
      </c>
      <c r="J149" s="2">
        <v>0.54513888888888884</v>
      </c>
      <c r="K149">
        <v>30</v>
      </c>
      <c r="L149">
        <v>2</v>
      </c>
      <c r="M149" t="s">
        <v>37</v>
      </c>
      <c r="N149" s="3">
        <f>(Table1[[#This Row],[Close_Time]]-Table1[[#This Row],[Open_Time]])*1440</f>
        <v>54.999999999999964</v>
      </c>
      <c r="O149" t="str">
        <f>IF(Table1[[#This Row],[Resolution_Time_Min]]&lt;=Table1[[#This Row],[SLA_Target_Min]],"Met","Breached")</f>
        <v>Breached</v>
      </c>
      <c r="P149">
        <f>IF(Table1[[#This Row],[SLA_Status]]="Breached",1,0)</f>
        <v>1</v>
      </c>
      <c r="Q149" t="str" cm="1">
        <f t="array" ref="Q149">_xlfn.IFS(Table1[[#This Row],[Resolution_Time_Min]]&lt;=15,"Very Fast",Table1[[#This Row],[Resolution_Time_Min]]&lt;=30,"Fast",Table1[[#This Row],[Resolution_Time_Min]]&lt;=60,"Moderate",TRUE,"Slow")</f>
        <v>Moderate</v>
      </c>
      <c r="R149" t="str" cm="1">
        <f t="array" ref="R149">_xlfn.IFS(Table1[[#This Row],[CSAT_Score]]&gt;=4,"Satisfied",Table1[[#This Row],[CSAT_Score]]=3,"Neutral",TRUE,"Dissatisfied")</f>
        <v>Dissatisfied</v>
      </c>
      <c r="S149">
        <f>IF(Table1[[#This Row],[Reopen_Flag]]="Yes",1,0)</f>
        <v>1</v>
      </c>
      <c r="T149">
        <f>IF(Table1[[#This Row],[SLA_Status]]="Met",1,0)</f>
        <v>0</v>
      </c>
      <c r="U149">
        <f>IF(Table1[[#This Row],[SLA_Status]]="Met",Table1[[#This Row],[CSAT_Score]]*1,Table1[[#This Row],[CSAT_Score]]*0.5)</f>
        <v>1</v>
      </c>
      <c r="V149" t="str">
        <f>TEXT(Table1[[#This Row],[Ticket_Date]],"yyyy-mmm")</f>
        <v>2024-Feb</v>
      </c>
    </row>
    <row r="150" spans="1:22" x14ac:dyDescent="0.3">
      <c r="A150" t="s">
        <v>186</v>
      </c>
      <c r="B150" s="1">
        <v>45341</v>
      </c>
      <c r="C150" t="s">
        <v>44</v>
      </c>
      <c r="D150" t="s">
        <v>45</v>
      </c>
      <c r="E150" t="s">
        <v>16</v>
      </c>
      <c r="F150" t="s">
        <v>31</v>
      </c>
      <c r="G150" t="s">
        <v>18</v>
      </c>
      <c r="H150" t="s">
        <v>32</v>
      </c>
      <c r="I150" s="2">
        <v>0.38194444444444442</v>
      </c>
      <c r="J150" s="2">
        <v>0.4201388888888889</v>
      </c>
      <c r="K150">
        <v>60</v>
      </c>
      <c r="L150">
        <v>5</v>
      </c>
      <c r="M150" t="s">
        <v>20</v>
      </c>
      <c r="N150" s="3">
        <f>(Table1[[#This Row],[Close_Time]]-Table1[[#This Row],[Open_Time]])*1440</f>
        <v>55.000000000000043</v>
      </c>
      <c r="O150" t="str">
        <f>IF(Table1[[#This Row],[Resolution_Time_Min]]&lt;=Table1[[#This Row],[SLA_Target_Min]],"Met","Breached")</f>
        <v>Met</v>
      </c>
      <c r="P150">
        <f>IF(Table1[[#This Row],[SLA_Status]]="Breached",1,0)</f>
        <v>0</v>
      </c>
      <c r="Q150" t="str" cm="1">
        <f t="array" ref="Q150">_xlfn.IFS(Table1[[#This Row],[Resolution_Time_Min]]&lt;=15,"Very Fast",Table1[[#This Row],[Resolution_Time_Min]]&lt;=30,"Fast",Table1[[#This Row],[Resolution_Time_Min]]&lt;=60,"Moderate",TRUE,"Slow")</f>
        <v>Moderate</v>
      </c>
      <c r="R150" t="str" cm="1">
        <f t="array" ref="R150">_xlfn.IFS(Table1[[#This Row],[CSAT_Score]]&gt;=4,"Satisfied",Table1[[#This Row],[CSAT_Score]]=3,"Neutral",TRUE,"Dissatisfied")</f>
        <v>Satisfied</v>
      </c>
      <c r="S150">
        <f>IF(Table1[[#This Row],[Reopen_Flag]]="Yes",1,0)</f>
        <v>0</v>
      </c>
      <c r="T150">
        <f>IF(Table1[[#This Row],[SLA_Status]]="Met",1,0)</f>
        <v>1</v>
      </c>
      <c r="U150">
        <f>IF(Table1[[#This Row],[SLA_Status]]="Met",Table1[[#This Row],[CSAT_Score]]*1,Table1[[#This Row],[CSAT_Score]]*0.5)</f>
        <v>5</v>
      </c>
      <c r="V150" t="str">
        <f>TEXT(Table1[[#This Row],[Ticket_Date]],"yyyy-mmm")</f>
        <v>2024-Feb</v>
      </c>
    </row>
    <row r="151" spans="1:22" x14ac:dyDescent="0.3">
      <c r="A151" t="s">
        <v>187</v>
      </c>
      <c r="B151" s="1">
        <v>45341</v>
      </c>
      <c r="C151" t="s">
        <v>29</v>
      </c>
      <c r="D151" t="s">
        <v>30</v>
      </c>
      <c r="E151" t="s">
        <v>16</v>
      </c>
      <c r="F151" t="s">
        <v>17</v>
      </c>
      <c r="G151" t="s">
        <v>18</v>
      </c>
      <c r="H151" t="s">
        <v>27</v>
      </c>
      <c r="I151" s="2">
        <v>0.44097222222222221</v>
      </c>
      <c r="J151" s="2">
        <v>0.47222222222222221</v>
      </c>
      <c r="K151">
        <v>40</v>
      </c>
      <c r="L151">
        <v>4</v>
      </c>
      <c r="M151" t="s">
        <v>20</v>
      </c>
      <c r="N151" s="3">
        <f>(Table1[[#This Row],[Close_Time]]-Table1[[#This Row],[Open_Time]])*1440</f>
        <v>45</v>
      </c>
      <c r="O151" t="str">
        <f>IF(Table1[[#This Row],[Resolution_Time_Min]]&lt;=Table1[[#This Row],[SLA_Target_Min]],"Met","Breached")</f>
        <v>Breached</v>
      </c>
      <c r="P151">
        <f>IF(Table1[[#This Row],[SLA_Status]]="Breached",1,0)</f>
        <v>1</v>
      </c>
      <c r="Q151" t="str" cm="1">
        <f t="array" ref="Q151">_xlfn.IFS(Table1[[#This Row],[Resolution_Time_Min]]&lt;=15,"Very Fast",Table1[[#This Row],[Resolution_Time_Min]]&lt;=30,"Fast",Table1[[#This Row],[Resolution_Time_Min]]&lt;=60,"Moderate",TRUE,"Slow")</f>
        <v>Moderate</v>
      </c>
      <c r="R151" t="str" cm="1">
        <f t="array" ref="R151">_xlfn.IFS(Table1[[#This Row],[CSAT_Score]]&gt;=4,"Satisfied",Table1[[#This Row],[CSAT_Score]]=3,"Neutral",TRUE,"Dissatisfied")</f>
        <v>Satisfied</v>
      </c>
      <c r="S151">
        <f>IF(Table1[[#This Row],[Reopen_Flag]]="Yes",1,0)</f>
        <v>0</v>
      </c>
      <c r="T151">
        <f>IF(Table1[[#This Row],[SLA_Status]]="Met",1,0)</f>
        <v>0</v>
      </c>
      <c r="U151">
        <f>IF(Table1[[#This Row],[SLA_Status]]="Met",Table1[[#This Row],[CSAT_Score]]*1,Table1[[#This Row],[CSAT_Score]]*0.5)</f>
        <v>2</v>
      </c>
      <c r="V151" t="str">
        <f>TEXT(Table1[[#This Row],[Ticket_Date]],"yyyy-mmm")</f>
        <v>2024-Feb</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46D7-9A68-4356-88DB-A6932ADA511F}">
  <dimension ref="A3:G53"/>
  <sheetViews>
    <sheetView workbookViewId="0">
      <selection activeCell="F4" sqref="F4"/>
    </sheetView>
  </sheetViews>
  <sheetFormatPr defaultRowHeight="14.4" x14ac:dyDescent="0.3"/>
  <cols>
    <col min="1" max="1" width="14.21875" bestFit="1" customWidth="1"/>
    <col min="2" max="2" width="19.109375" customWidth="1"/>
    <col min="3" max="3" width="12" bestFit="1" customWidth="1"/>
    <col min="4" max="4" width="27.6640625" bestFit="1" customWidth="1"/>
    <col min="5" max="5" width="19.109375" bestFit="1" customWidth="1"/>
    <col min="6" max="6" width="17" customWidth="1"/>
    <col min="7" max="7" width="20.44140625" bestFit="1" customWidth="1"/>
  </cols>
  <sheetData>
    <row r="3" spans="1:7" x14ac:dyDescent="0.3">
      <c r="A3" t="s">
        <v>197</v>
      </c>
      <c r="B3" t="s">
        <v>198</v>
      </c>
      <c r="C3" t="s">
        <v>199</v>
      </c>
      <c r="D3" t="s">
        <v>200</v>
      </c>
      <c r="E3" t="s">
        <v>201</v>
      </c>
      <c r="F3" s="6" t="s">
        <v>196</v>
      </c>
      <c r="G3" s="11" t="s">
        <v>206</v>
      </c>
    </row>
    <row r="4" spans="1:7" x14ac:dyDescent="0.3">
      <c r="A4">
        <v>150</v>
      </c>
      <c r="B4">
        <v>95</v>
      </c>
      <c r="C4">
        <v>55</v>
      </c>
      <c r="D4" s="3">
        <v>48.113333333333337</v>
      </c>
      <c r="E4" s="4">
        <v>3.6333333333333333</v>
      </c>
      <c r="F4" s="5">
        <f>GETPIVOTDATA("SLA_Met",$A$3)/GETPIVOTDATA("Total_Tickets",$A$3)</f>
        <v>0.6333333333333333</v>
      </c>
      <c r="G4" s="12">
        <f>GETPIVOTDATA("SLA_Breach_Flag",$A$8,"Agent_Name","Suresh")/GETPIVOTDATA("Total_Tickets",$A$3)</f>
        <v>0.17333333333333334</v>
      </c>
    </row>
    <row r="8" spans="1:7" x14ac:dyDescent="0.3">
      <c r="A8" s="7" t="s">
        <v>3</v>
      </c>
      <c r="B8" t="s">
        <v>205</v>
      </c>
    </row>
    <row r="9" spans="1:7" x14ac:dyDescent="0.3">
      <c r="A9" s="8" t="s">
        <v>23</v>
      </c>
      <c r="B9">
        <v>25</v>
      </c>
    </row>
    <row r="10" spans="1:7" x14ac:dyDescent="0.3">
      <c r="A10" s="8" t="s">
        <v>45</v>
      </c>
      <c r="B10">
        <v>25</v>
      </c>
    </row>
    <row r="11" spans="1:7" x14ac:dyDescent="0.3">
      <c r="A11" s="8" t="s">
        <v>35</v>
      </c>
      <c r="B11">
        <v>25</v>
      </c>
    </row>
    <row r="12" spans="1:7" x14ac:dyDescent="0.3">
      <c r="A12" s="8" t="s">
        <v>15</v>
      </c>
      <c r="B12">
        <v>25</v>
      </c>
    </row>
    <row r="13" spans="1:7" x14ac:dyDescent="0.3">
      <c r="A13" s="8" t="s">
        <v>30</v>
      </c>
      <c r="B13">
        <v>26</v>
      </c>
    </row>
    <row r="16" spans="1:7" x14ac:dyDescent="0.3">
      <c r="F16" s="9"/>
    </row>
    <row r="19" spans="1:3" x14ac:dyDescent="0.3">
      <c r="A19" s="7" t="s">
        <v>4</v>
      </c>
      <c r="B19" t="s">
        <v>210</v>
      </c>
      <c r="C19" t="s">
        <v>202</v>
      </c>
    </row>
    <row r="20" spans="1:3" x14ac:dyDescent="0.3">
      <c r="A20" s="8" t="s">
        <v>16</v>
      </c>
      <c r="B20">
        <v>28</v>
      </c>
      <c r="C20">
        <v>76</v>
      </c>
    </row>
    <row r="21" spans="1:3" x14ac:dyDescent="0.3">
      <c r="A21" s="8" t="s">
        <v>36</v>
      </c>
      <c r="B21">
        <v>27</v>
      </c>
      <c r="C21">
        <v>49</v>
      </c>
    </row>
    <row r="22" spans="1:3" x14ac:dyDescent="0.3">
      <c r="A22" s="8" t="s">
        <v>24</v>
      </c>
      <c r="B22">
        <v>0</v>
      </c>
      <c r="C22">
        <v>25</v>
      </c>
    </row>
    <row r="27" spans="1:3" x14ac:dyDescent="0.3">
      <c r="A27" s="7" t="s">
        <v>5</v>
      </c>
      <c r="B27" t="s">
        <v>200</v>
      </c>
    </row>
    <row r="28" spans="1:3" x14ac:dyDescent="0.3">
      <c r="A28" s="8" t="s">
        <v>31</v>
      </c>
      <c r="B28" s="3">
        <v>53.823529411764696</v>
      </c>
    </row>
    <row r="29" spans="1:3" x14ac:dyDescent="0.3">
      <c r="A29" s="8" t="s">
        <v>17</v>
      </c>
      <c r="B29" s="3">
        <v>49.090909090909093</v>
      </c>
    </row>
    <row r="30" spans="1:3" x14ac:dyDescent="0.3">
      <c r="A30" s="8" t="s">
        <v>25</v>
      </c>
      <c r="B30" s="3">
        <v>41.205128205128212</v>
      </c>
    </row>
    <row r="35" spans="1:3" x14ac:dyDescent="0.3">
      <c r="A35" s="7" t="s">
        <v>189</v>
      </c>
      <c r="B35" t="s">
        <v>201</v>
      </c>
    </row>
    <row r="36" spans="1:3" x14ac:dyDescent="0.3">
      <c r="A36" s="8" t="s">
        <v>204</v>
      </c>
      <c r="B36" s="4">
        <v>4.3368421052631581</v>
      </c>
    </row>
    <row r="37" spans="1:3" x14ac:dyDescent="0.3">
      <c r="A37" s="8" t="s">
        <v>203</v>
      </c>
      <c r="B37" s="4">
        <v>2.418181818181818</v>
      </c>
    </row>
    <row r="43" spans="1:3" x14ac:dyDescent="0.3">
      <c r="A43" s="7" t="s">
        <v>7</v>
      </c>
      <c r="B43" t="s">
        <v>199</v>
      </c>
      <c r="C43" t="s">
        <v>197</v>
      </c>
    </row>
    <row r="44" spans="1:3" x14ac:dyDescent="0.3">
      <c r="A44" s="8" t="s">
        <v>19</v>
      </c>
      <c r="B44">
        <v>48</v>
      </c>
      <c r="C44">
        <v>48</v>
      </c>
    </row>
    <row r="45" spans="1:3" x14ac:dyDescent="0.3">
      <c r="A45" s="8" t="s">
        <v>27</v>
      </c>
      <c r="B45">
        <v>7</v>
      </c>
      <c r="C45">
        <v>60</v>
      </c>
    </row>
    <row r="46" spans="1:3" x14ac:dyDescent="0.3">
      <c r="A46" s="8" t="s">
        <v>32</v>
      </c>
      <c r="B46">
        <v>0</v>
      </c>
      <c r="C46">
        <v>42</v>
      </c>
    </row>
    <row r="51" spans="1:2" x14ac:dyDescent="0.3">
      <c r="A51" s="7" t="s">
        <v>213</v>
      </c>
      <c r="B51" t="s">
        <v>205</v>
      </c>
    </row>
    <row r="52" spans="1:2" x14ac:dyDescent="0.3">
      <c r="A52" s="8" t="s">
        <v>211</v>
      </c>
      <c r="B52">
        <v>94</v>
      </c>
    </row>
    <row r="53" spans="1:2" x14ac:dyDescent="0.3">
      <c r="A53" s="8" t="s">
        <v>212</v>
      </c>
      <c r="B53">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3953-1E57-4594-9576-30DC4644A324}">
  <dimension ref="A1:D2"/>
  <sheetViews>
    <sheetView workbookViewId="0">
      <selection activeCell="D16" sqref="D16"/>
    </sheetView>
  </sheetViews>
  <sheetFormatPr defaultRowHeight="14.4" x14ac:dyDescent="0.3"/>
  <cols>
    <col min="1" max="1" width="11.33203125" bestFit="1" customWidth="1"/>
    <col min="2" max="2" width="16.44140625" bestFit="1" customWidth="1"/>
    <col min="3" max="3" width="22.109375" bestFit="1" customWidth="1"/>
    <col min="4" max="4" width="18" bestFit="1" customWidth="1"/>
  </cols>
  <sheetData>
    <row r="1" spans="1:4" x14ac:dyDescent="0.3">
      <c r="A1" s="10" t="s">
        <v>207</v>
      </c>
      <c r="B1" s="10" t="s">
        <v>196</v>
      </c>
      <c r="C1" s="10" t="s">
        <v>208</v>
      </c>
      <c r="D1" s="10" t="s">
        <v>209</v>
      </c>
    </row>
    <row r="2" spans="1:4" x14ac:dyDescent="0.3">
      <c r="A2">
        <f>GETPIVOTDATA("Total_Tickets",Pivot_Backend!$A$3)</f>
        <v>150</v>
      </c>
      <c r="B2" s="5">
        <f>Pivot_Backend!F4</f>
        <v>0.6333333333333333</v>
      </c>
      <c r="C2" s="3">
        <f>GETPIVOTDATA("Average_Resolution_Time_Min",Pivot_Backend!$A$3)</f>
        <v>48.113333333333337</v>
      </c>
      <c r="D2" s="4">
        <f>GETPIVOTDATA("Average_CSAT_Score",Pivot_Backend!$A$3)</f>
        <v>3.6333333333333333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7F389-21C0-44FC-912B-01FC7B971522}">
  <dimension ref="A1:N17"/>
  <sheetViews>
    <sheetView zoomScale="85" zoomScaleNormal="85" workbookViewId="0">
      <pane ySplit="1" topLeftCell="A2" activePane="bottomLeft" state="frozen"/>
      <selection pane="bottomLeft" activeCell="G21" sqref="G21"/>
    </sheetView>
  </sheetViews>
  <sheetFormatPr defaultRowHeight="14.4" x14ac:dyDescent="0.3"/>
  <cols>
    <col min="1" max="1" width="15.5546875" bestFit="1" customWidth="1"/>
    <col min="2" max="2" width="11.88671875" bestFit="1" customWidth="1"/>
    <col min="3" max="3" width="21.44140625" bestFit="1" customWidth="1"/>
    <col min="4" max="4" width="15.44140625" bestFit="1" customWidth="1"/>
    <col min="5" max="5" width="18" bestFit="1" customWidth="1"/>
    <col min="6" max="6" width="25.21875" bestFit="1" customWidth="1"/>
    <col min="7" max="7" width="15.88671875" bestFit="1" customWidth="1"/>
    <col min="8" max="8" width="15" bestFit="1" customWidth="1"/>
    <col min="9" max="9" width="10.21875" bestFit="1" customWidth="1"/>
    <col min="10" max="10" width="11.33203125" bestFit="1" customWidth="1"/>
    <col min="11" max="11" width="18.33203125" bestFit="1" customWidth="1"/>
    <col min="12" max="12" width="13.88671875" bestFit="1" customWidth="1"/>
    <col min="13" max="13" width="23.88671875" bestFit="1" customWidth="1"/>
    <col min="14" max="14" width="19.88671875" bestFit="1" customWidth="1"/>
  </cols>
  <sheetData>
    <row r="1" spans="1:14" x14ac:dyDescent="0.3">
      <c r="A1" s="10" t="s">
        <v>3</v>
      </c>
      <c r="B1" s="10" t="s">
        <v>4</v>
      </c>
      <c r="C1" s="10" t="s">
        <v>220</v>
      </c>
      <c r="D1" s="10" t="s">
        <v>221</v>
      </c>
      <c r="E1" s="10" t="s">
        <v>205</v>
      </c>
      <c r="F1" s="10" t="s">
        <v>222</v>
      </c>
      <c r="G1" s="10" t="s">
        <v>223</v>
      </c>
      <c r="H1" s="10" t="s">
        <v>224</v>
      </c>
      <c r="I1" s="10" t="s">
        <v>225</v>
      </c>
      <c r="J1" s="10" t="s">
        <v>11</v>
      </c>
      <c r="K1" s="10" t="s">
        <v>226</v>
      </c>
      <c r="L1" s="10" t="s">
        <v>227</v>
      </c>
      <c r="M1" s="10" t="s">
        <v>228</v>
      </c>
      <c r="N1" s="10" t="s">
        <v>229</v>
      </c>
    </row>
    <row r="2" spans="1:14" x14ac:dyDescent="0.3">
      <c r="A2" t="s">
        <v>42</v>
      </c>
      <c r="B2" t="str">
        <f>_xlfn.XLOOKUP(Table6[[#This Row],[Agent_Name]],Table1[Agent_Name],Table1[Process])</f>
        <v>Sales</v>
      </c>
      <c r="C2">
        <f>COUNTIF(Table1[Agent_Name],Table6[[#This Row],[Agent_Name]])</f>
        <v>24</v>
      </c>
      <c r="D2">
        <f>COUNTIFS(Table1[Agent_Name],Table6[[#This Row],[Agent_Name]],Table1[SLA_Met_Flag],1)</f>
        <v>10</v>
      </c>
      <c r="E2">
        <f>COUNTIFS(Table1[Agent_Name],Table6[[#This Row],[Agent_Name]],Table1[SLA_Met_Flag],0)</f>
        <v>14</v>
      </c>
      <c r="F2" s="4">
        <f>AVERAGEIF(Table1[Agent_Name],Table6[[#This Row],[Agent_Name]],Table1[Resolution_Time_Min])</f>
        <v>47.499999999999993</v>
      </c>
      <c r="G2" s="4">
        <f>AVERAGEIF(Table1[Agent_Name],Table6[[#This Row],[Agent_Name]],Table1[CSAT_Score])</f>
        <v>2.5</v>
      </c>
      <c r="H2" s="5">
        <f>SUMIF(Table1[Agent_Name],Table6[[#This Row],[Agent_Name]],Table1[Reopen_Flag_Num])/Table6[[#This Row],[Total_Tickets_Handled]]</f>
        <v>0.5</v>
      </c>
      <c r="I2" s="5">
        <f>IF(Table6[[#This Row],[Total_Tickets_Handled]]=0,0,(Table6[[#This Row],[SLA_Met_Count]]/Table6[[#This Row],[Total_Tickets_Handled]]))</f>
        <v>0.41666666666666669</v>
      </c>
      <c r="J2" s="5">
        <f>Table6[[#This Row],[Avg_CSAT_Score]]/5</f>
        <v>0.5</v>
      </c>
      <c r="K2" s="5">
        <f>Table6[[#This Row],[Total_Tickets_Handled]]/MAX(Table6[Total_Tickets_Handled])</f>
        <v>0.92307692307692313</v>
      </c>
      <c r="L2" s="5">
        <f>1-Table6[[#This Row],[Reopen_Rate %]]</f>
        <v>0.5</v>
      </c>
      <c r="M2" s="5">
        <f>(Table6[[#This Row],[SLA_Score]]*0.4)+(Table6[[#This Row],[CSAT_Score]]*0.3)+(Table6[[#This Row],[Productivity_Score]]*0.2)+(Table6[[#This Row],[Reopen_Score]]*0.1)</f>
        <v>0.55128205128205132</v>
      </c>
      <c r="N2" s="23" t="str" cm="1">
        <f t="array" ref="N2">_xlfn.IFS(Table6[[#This Row],[Agent performance score]]&gt;=0.8,"Star Performer",Table6[[#This Row],[Agent performance score]]&gt;=0.6,"Consistent",TRUE,"Needs Coaching")</f>
        <v>Needs Coaching</v>
      </c>
    </row>
    <row r="3" spans="1:14" x14ac:dyDescent="0.3">
      <c r="A3" t="s">
        <v>35</v>
      </c>
      <c r="B3" t="str">
        <f>_xlfn.XLOOKUP(Table6[[#This Row],[Agent_Name]],Table1[Agent_Name],Table1[Process])</f>
        <v>Sales</v>
      </c>
      <c r="C3">
        <f>COUNTIF(Table1[Agent_Name],Table6[[#This Row],[Agent_Name]])</f>
        <v>25</v>
      </c>
      <c r="D3">
        <f>COUNTIFS(Table1[Agent_Name],Table6[[#This Row],[Agent_Name]],Table1[SLA_Met_Flag],1)</f>
        <v>12</v>
      </c>
      <c r="E3">
        <f>COUNTIFS(Table1[Agent_Name],Table6[[#This Row],[Agent_Name]],Table1[SLA_Met_Flag],0)</f>
        <v>13</v>
      </c>
      <c r="F3" s="4">
        <f>AVERAGEIF(Table1[Agent_Name],Table6[[#This Row],[Agent_Name]],Table1[Resolution_Time_Min])</f>
        <v>46.800000000000011</v>
      </c>
      <c r="G3" s="4">
        <f>AVERAGEIF(Table1[Agent_Name],Table6[[#This Row],[Agent_Name]],Table1[CSAT_Score])</f>
        <v>2.96</v>
      </c>
      <c r="H3" s="5">
        <f>SUMIF(Table1[Agent_Name],Table6[[#This Row],[Agent_Name]],Table1[Reopen_Flag_Num])/Table6[[#This Row],[Total_Tickets_Handled]]</f>
        <v>0.52</v>
      </c>
      <c r="I3" s="5">
        <f>IF(Table6[[#This Row],[Total_Tickets_Handled]]=0,0,(Table6[[#This Row],[SLA_Met_Count]]/Table6[[#This Row],[Total_Tickets_Handled]]))</f>
        <v>0.48</v>
      </c>
      <c r="J3" s="5">
        <f>Table6[[#This Row],[Avg_CSAT_Score]]/5</f>
        <v>0.59199999999999997</v>
      </c>
      <c r="K3" s="5">
        <f>Table6[[#This Row],[Total_Tickets_Handled]]/MAX(Table6[Total_Tickets_Handled])</f>
        <v>0.96153846153846156</v>
      </c>
      <c r="L3" s="5">
        <f>1-Table6[[#This Row],[Reopen_Rate %]]</f>
        <v>0.48</v>
      </c>
      <c r="M3" s="5">
        <f>(Table6[[#This Row],[SLA_Score]]*0.4)+(Table6[[#This Row],[CSAT_Score]]*0.3)+(Table6[[#This Row],[Productivity_Score]]*0.2)+(Table6[[#This Row],[Reopen_Score]]*0.1)</f>
        <v>0.60990769230769237</v>
      </c>
      <c r="N3" s="23" t="str" cm="1">
        <f t="array" ref="N3">_xlfn.IFS(Table6[[#This Row],[Agent performance score]]&gt;=0.8,"Star Performer",Table6[[#This Row],[Agent performance score]]&gt;=0.6,"Consistent",TRUE,"Needs Coaching")</f>
        <v>Consistent</v>
      </c>
    </row>
    <row r="4" spans="1:14" x14ac:dyDescent="0.3">
      <c r="A4" t="s">
        <v>15</v>
      </c>
      <c r="B4" t="str">
        <f>_xlfn.XLOOKUP(Table6[[#This Row],[Agent_Name]],Table1[Agent_Name],Table1[Process])</f>
        <v>Tech Support</v>
      </c>
      <c r="C4">
        <f>COUNTIF(Table1[Agent_Name],Table6[[#This Row],[Agent_Name]])</f>
        <v>25</v>
      </c>
      <c r="D4">
        <f>COUNTIFS(Table1[Agent_Name],Table6[[#This Row],[Agent_Name]],Table1[SLA_Met_Flag],1)</f>
        <v>15</v>
      </c>
      <c r="E4">
        <f>COUNTIFS(Table1[Agent_Name],Table6[[#This Row],[Agent_Name]],Table1[SLA_Met_Flag],0)</f>
        <v>10</v>
      </c>
      <c r="F4" s="4">
        <f>AVERAGEIF(Table1[Agent_Name],Table6[[#This Row],[Agent_Name]],Table1[Resolution_Time_Min])</f>
        <v>46.4</v>
      </c>
      <c r="G4" s="4">
        <f>AVERAGEIF(Table1[Agent_Name],Table6[[#This Row],[Agent_Name]],Table1[CSAT_Score])</f>
        <v>3.36</v>
      </c>
      <c r="H4" s="5">
        <f>SUMIF(Table1[Agent_Name],Table6[[#This Row],[Agent_Name]],Table1[Reopen_Flag_Num])/Table6[[#This Row],[Total_Tickets_Handled]]</f>
        <v>0.36</v>
      </c>
      <c r="I4" s="5">
        <f>IF(Table6[[#This Row],[Total_Tickets_Handled]]=0,0,(Table6[[#This Row],[SLA_Met_Count]]/Table6[[#This Row],[Total_Tickets_Handled]]))</f>
        <v>0.6</v>
      </c>
      <c r="J4" s="5">
        <f>Table6[[#This Row],[Avg_CSAT_Score]]/5</f>
        <v>0.67199999999999993</v>
      </c>
      <c r="K4" s="5">
        <f>Table6[[#This Row],[Total_Tickets_Handled]]/MAX(Table6[Total_Tickets_Handled])</f>
        <v>0.96153846153846156</v>
      </c>
      <c r="L4" s="5">
        <f>1-Table6[[#This Row],[Reopen_Rate %]]</f>
        <v>0.64</v>
      </c>
      <c r="M4" s="5">
        <f>(Table6[[#This Row],[SLA_Score]]*0.4)+(Table6[[#This Row],[CSAT_Score]]*0.3)+(Table6[[#This Row],[Productivity_Score]]*0.2)+(Table6[[#This Row],[Reopen_Score]]*0.1)</f>
        <v>0.69790769230769234</v>
      </c>
      <c r="N4" s="23" t="str" cm="1">
        <f t="array" ref="N4">_xlfn.IFS(Table6[[#This Row],[Agent performance score]]&gt;=0.8,"Star Performer",Table6[[#This Row],[Agent performance score]]&gt;=0.6,"Consistent",TRUE,"Needs Coaching")</f>
        <v>Consistent</v>
      </c>
    </row>
    <row r="5" spans="1:14" x14ac:dyDescent="0.3">
      <c r="A5" t="s">
        <v>30</v>
      </c>
      <c r="B5" t="str">
        <f>_xlfn.XLOOKUP(Table6[[#This Row],[Agent_Name]],Table1[Agent_Name],Table1[Process])</f>
        <v>Tech Support</v>
      </c>
      <c r="C5">
        <f>COUNTIF(Table1[Agent_Name],Table6[[#This Row],[Agent_Name]])</f>
        <v>26</v>
      </c>
      <c r="D5">
        <f>COUNTIFS(Table1[Agent_Name],Table6[[#This Row],[Agent_Name]],Table1[SLA_Met_Flag],1)</f>
        <v>12</v>
      </c>
      <c r="E5">
        <f>COUNTIFS(Table1[Agent_Name],Table6[[#This Row],[Agent_Name]],Table1[SLA_Met_Flag],0)</f>
        <v>14</v>
      </c>
      <c r="F5" s="4">
        <f>AVERAGEIF(Table1[Agent_Name],Table6[[#This Row],[Agent_Name]],Table1[Resolution_Time_Min])</f>
        <v>51.346153846153847</v>
      </c>
      <c r="G5" s="4">
        <f>AVERAGEIF(Table1[Agent_Name],Table6[[#This Row],[Agent_Name]],Table1[CSAT_Score])</f>
        <v>3.9615384615384617</v>
      </c>
      <c r="H5" s="5">
        <f>SUMIF(Table1[Agent_Name],Table6[[#This Row],[Agent_Name]],Table1[Reopen_Flag_Num])/Table6[[#This Row],[Total_Tickets_Handled]]</f>
        <v>0</v>
      </c>
      <c r="I5" s="5">
        <f>IF(Table6[[#This Row],[Total_Tickets_Handled]]=0,0,(Table6[[#This Row],[SLA_Met_Count]]/Table6[[#This Row],[Total_Tickets_Handled]]))</f>
        <v>0.46153846153846156</v>
      </c>
      <c r="J5" s="5">
        <f>Table6[[#This Row],[Avg_CSAT_Score]]/5</f>
        <v>0.79230769230769238</v>
      </c>
      <c r="K5" s="5">
        <f>Table6[[#This Row],[Total_Tickets_Handled]]/MAX(Table6[Total_Tickets_Handled])</f>
        <v>1</v>
      </c>
      <c r="L5" s="5">
        <f>1-Table6[[#This Row],[Reopen_Rate %]]</f>
        <v>1</v>
      </c>
      <c r="M5" s="5">
        <f>(Table6[[#This Row],[SLA_Score]]*0.4)+(Table6[[#This Row],[CSAT_Score]]*0.3)+(Table6[[#This Row],[Productivity_Score]]*0.2)+(Table6[[#This Row],[Reopen_Score]]*0.1)</f>
        <v>0.72230769230769232</v>
      </c>
      <c r="N5" s="23" t="str" cm="1">
        <f t="array" ref="N5">_xlfn.IFS(Table6[[#This Row],[Agent performance score]]&gt;=0.8,"Star Performer",Table6[[#This Row],[Agent performance score]]&gt;=0.6,"Consistent",TRUE,"Needs Coaching")</f>
        <v>Consistent</v>
      </c>
    </row>
    <row r="6" spans="1:14" x14ac:dyDescent="0.3">
      <c r="A6" t="s">
        <v>45</v>
      </c>
      <c r="B6" t="str">
        <f>_xlfn.XLOOKUP(Table6[[#This Row],[Agent_Name]],Table1[Agent_Name],Table1[Process])</f>
        <v>Tech Support</v>
      </c>
      <c r="C6">
        <f>COUNTIF(Table1[Agent_Name],Table6[[#This Row],[Agent_Name]])</f>
        <v>25</v>
      </c>
      <c r="D6">
        <f>COUNTIFS(Table1[Agent_Name],Table6[[#This Row],[Agent_Name]],Table1[SLA_Met_Flag],1)</f>
        <v>21</v>
      </c>
      <c r="E6">
        <f>COUNTIFS(Table1[Agent_Name],Table6[[#This Row],[Agent_Name]],Table1[SLA_Met_Flag],0)</f>
        <v>4</v>
      </c>
      <c r="F6" s="4">
        <f>AVERAGEIF(Table1[Agent_Name],Table6[[#This Row],[Agent_Name]],Table1[Resolution_Time_Min])</f>
        <v>46.799999999999983</v>
      </c>
      <c r="G6" s="4">
        <f>AVERAGEIF(Table1[Agent_Name],Table6[[#This Row],[Agent_Name]],Table1[CSAT_Score])</f>
        <v>4.08</v>
      </c>
      <c r="H6" s="5">
        <f>SUMIF(Table1[Agent_Name],Table6[[#This Row],[Agent_Name]],Table1[Reopen_Flag_Num])/Table6[[#This Row],[Total_Tickets_Handled]]</f>
        <v>0.12</v>
      </c>
      <c r="I6" s="5">
        <f>IF(Table6[[#This Row],[Total_Tickets_Handled]]=0,0,(Table6[[#This Row],[SLA_Met_Count]]/Table6[[#This Row],[Total_Tickets_Handled]]))</f>
        <v>0.84</v>
      </c>
      <c r="J6" s="5">
        <f>Table6[[#This Row],[Avg_CSAT_Score]]/5</f>
        <v>0.81600000000000006</v>
      </c>
      <c r="K6" s="5">
        <f>Table6[[#This Row],[Total_Tickets_Handled]]/MAX(Table6[Total_Tickets_Handled])</f>
        <v>0.96153846153846156</v>
      </c>
      <c r="L6" s="5">
        <f>1-Table6[[#This Row],[Reopen_Rate %]]</f>
        <v>0.88</v>
      </c>
      <c r="M6" s="5">
        <f>(Table6[[#This Row],[SLA_Score]]*0.4)+(Table6[[#This Row],[CSAT_Score]]*0.3)+(Table6[[#This Row],[Productivity_Score]]*0.2)+(Table6[[#This Row],[Reopen_Score]]*0.1)</f>
        <v>0.86110769230769224</v>
      </c>
      <c r="N6" s="23" t="str" cm="1">
        <f t="array" ref="N6">_xlfn.IFS(Table6[[#This Row],[Agent performance score]]&gt;=0.8,"Star Performer",Table6[[#This Row],[Agent performance score]]&gt;=0.6,"Consistent",TRUE,"Needs Coaching")</f>
        <v>Star Performer</v>
      </c>
    </row>
    <row r="7" spans="1:14" x14ac:dyDescent="0.3">
      <c r="A7" t="s">
        <v>23</v>
      </c>
      <c r="B7" t="str">
        <f>_xlfn.XLOOKUP(Table6[[#This Row],[Agent_Name]],Table1[Agent_Name],Table1[Process])</f>
        <v>Billing</v>
      </c>
      <c r="C7">
        <f>COUNTIF(Table1[Agent_Name],Table6[[#This Row],[Agent_Name]])</f>
        <v>25</v>
      </c>
      <c r="D7">
        <f>COUNTIFS(Table1[Agent_Name],Table6[[#This Row],[Agent_Name]],Table1[SLA_Met_Flag],1)</f>
        <v>25</v>
      </c>
      <c r="E7">
        <f>COUNTIFS(Table1[Agent_Name],Table6[[#This Row],[Agent_Name]],Table1[SLA_Met_Flag],0)</f>
        <v>0</v>
      </c>
      <c r="F7" s="4">
        <f>AVERAGEIF(Table1[Agent_Name],Table6[[#This Row],[Agent_Name]],Table1[Resolution_Time_Min])</f>
        <v>49.680000000000007</v>
      </c>
      <c r="G7" s="4">
        <f>AVERAGEIF(Table1[Agent_Name],Table6[[#This Row],[Agent_Name]],Table1[CSAT_Score])</f>
        <v>4.88</v>
      </c>
      <c r="H7" s="5">
        <f>SUMIF(Table1[Agent_Name],Table6[[#This Row],[Agent_Name]],Table1[Reopen_Flag_Num])/Table6[[#This Row],[Total_Tickets_Handled]]</f>
        <v>0</v>
      </c>
      <c r="I7" s="5">
        <f>IF(Table6[[#This Row],[Total_Tickets_Handled]]=0,0,(Table6[[#This Row],[SLA_Met_Count]]/Table6[[#This Row],[Total_Tickets_Handled]]))</f>
        <v>1</v>
      </c>
      <c r="J7" s="5">
        <f>Table6[[#This Row],[Avg_CSAT_Score]]/5</f>
        <v>0.97599999999999998</v>
      </c>
      <c r="K7" s="5">
        <f>Table6[[#This Row],[Total_Tickets_Handled]]/MAX(Table6[Total_Tickets_Handled])</f>
        <v>0.96153846153846156</v>
      </c>
      <c r="L7" s="5">
        <f>1-Table6[[#This Row],[Reopen_Rate %]]</f>
        <v>1</v>
      </c>
      <c r="M7" s="5">
        <f>(Table6[[#This Row],[SLA_Score]]*0.4)+(Table6[[#This Row],[CSAT_Score]]*0.3)+(Table6[[#This Row],[Productivity_Score]]*0.2)+(Table6[[#This Row],[Reopen_Score]]*0.1)</f>
        <v>0.98510769230769235</v>
      </c>
      <c r="N7" s="23" t="str" cm="1">
        <f t="array" ref="N7">_xlfn.IFS(Table6[[#This Row],[Agent performance score]]&gt;=0.8,"Star Performer",Table6[[#This Row],[Agent performance score]]&gt;=0.6,"Consistent",TRUE,"Needs Coaching")</f>
        <v>Star Performer</v>
      </c>
    </row>
    <row r="13" spans="1:14" x14ac:dyDescent="0.3">
      <c r="A13" t="s">
        <v>230</v>
      </c>
      <c r="B13" t="s">
        <v>231</v>
      </c>
    </row>
    <row r="14" spans="1:14" x14ac:dyDescent="0.3">
      <c r="A14" t="s">
        <v>232</v>
      </c>
      <c r="B14" s="5">
        <v>0.4</v>
      </c>
    </row>
    <row r="15" spans="1:14" x14ac:dyDescent="0.3">
      <c r="A15" t="s">
        <v>233</v>
      </c>
      <c r="B15" s="5">
        <v>0.3</v>
      </c>
    </row>
    <row r="16" spans="1:14" x14ac:dyDescent="0.3">
      <c r="A16" t="s">
        <v>234</v>
      </c>
      <c r="B16" s="5">
        <v>0.2</v>
      </c>
    </row>
    <row r="17" spans="1:2" x14ac:dyDescent="0.3">
      <c r="A17" t="s">
        <v>235</v>
      </c>
      <c r="B17" s="5">
        <v>0.1</v>
      </c>
    </row>
  </sheetData>
  <phoneticPr fontId="4" type="noConversion"/>
  <conditionalFormatting sqref="A2:A7">
    <cfRule type="expression" dxfId="3" priority="1">
      <formula>$N2="Star Performer"</formula>
    </cfRule>
  </conditionalFormatting>
  <conditionalFormatting sqref="A2:N7">
    <cfRule type="expression" dxfId="2" priority="2">
      <formula>$N2="Needs Coaching"</formula>
    </cfRule>
    <cfRule type="expression" dxfId="1" priority="3">
      <formula>$N2="Consistent"</formula>
    </cfRule>
    <cfRule type="expression" dxfId="0" priority="4">
      <formula>$N2="Star Performer"</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CC8E-B1C7-4E1D-986D-661628895E08}">
  <dimension ref="X2:Y36"/>
  <sheetViews>
    <sheetView showGridLines="0" showRowColHeaders="0" zoomScale="55" zoomScaleNormal="55" workbookViewId="0">
      <selection activeCell="AN53" sqref="AN53"/>
    </sheetView>
  </sheetViews>
  <sheetFormatPr defaultRowHeight="14.4" x14ac:dyDescent="0.3"/>
  <sheetData>
    <row r="2" spans="25:25" x14ac:dyDescent="0.3">
      <c r="Y2" s="10" t="s">
        <v>214</v>
      </c>
    </row>
    <row r="33" spans="24:24" ht="21" x14ac:dyDescent="0.4">
      <c r="X33" s="14" t="s">
        <v>215</v>
      </c>
    </row>
    <row r="34" spans="24:24" ht="21" x14ac:dyDescent="0.4">
      <c r="X34" s="13" t="s">
        <v>217</v>
      </c>
    </row>
    <row r="35" spans="24:24" ht="21" x14ac:dyDescent="0.4">
      <c r="X35" s="13" t="s">
        <v>218</v>
      </c>
    </row>
    <row r="36" spans="24:24" ht="21" x14ac:dyDescent="0.4">
      <c r="X36" s="13" t="s">
        <v>219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1988-EE3B-4889-BE23-49A15284984D}">
  <dimension ref="A1:W29"/>
  <sheetViews>
    <sheetView showGridLines="0" showRowColHeaders="0" tabSelected="1" zoomScale="70" zoomScaleNormal="70" workbookViewId="0">
      <selection activeCell="I37" sqref="I37"/>
    </sheetView>
  </sheetViews>
  <sheetFormatPr defaultRowHeight="14.4" x14ac:dyDescent="0.3"/>
  <cols>
    <col min="1" max="1" width="25.5546875" customWidth="1"/>
    <col min="2" max="2" width="21.5546875" customWidth="1"/>
    <col min="3" max="3" width="21.109375" bestFit="1" customWidth="1"/>
    <col min="4" max="4" width="24" bestFit="1" customWidth="1"/>
  </cols>
  <sheetData>
    <row r="1" spans="1:23" ht="38.4" customHeight="1" x14ac:dyDescent="0.7">
      <c r="A1" s="18">
        <f>AVERAGE(Table6[Agent performance score])</f>
        <v>0.73793675213675225</v>
      </c>
      <c r="B1" s="19">
        <f>COUNTIF(Table6[Performance_Bucket],"Star Performer")</f>
        <v>2</v>
      </c>
      <c r="C1" s="19">
        <f>COUNTIF(Table6[Performance_Bucket],"Needs Coaching")</f>
        <v>1</v>
      </c>
      <c r="D1" s="20">
        <f>AVERAGE(Table6[SLA_Score])</f>
        <v>0.63303418803418798</v>
      </c>
      <c r="W1" s="10" t="s">
        <v>244</v>
      </c>
    </row>
    <row r="2" spans="1:23" ht="22.8" customHeight="1" x14ac:dyDescent="0.3">
      <c r="A2" s="15" t="s">
        <v>236</v>
      </c>
      <c r="B2" s="16" t="s">
        <v>237</v>
      </c>
      <c r="C2" s="16" t="s">
        <v>238</v>
      </c>
      <c r="D2" s="17" t="s">
        <v>239</v>
      </c>
    </row>
    <row r="26" spans="7:7" ht="15.6" x14ac:dyDescent="0.3">
      <c r="G26" s="21" t="s">
        <v>240</v>
      </c>
    </row>
    <row r="27" spans="7:7" ht="15.6" x14ac:dyDescent="0.3">
      <c r="G27" s="22" t="s">
        <v>241</v>
      </c>
    </row>
    <row r="28" spans="7:7" ht="15.6" x14ac:dyDescent="0.3">
      <c r="G28" s="22" t="s">
        <v>242</v>
      </c>
    </row>
    <row r="29" spans="7:7" ht="15.6" x14ac:dyDescent="0.3">
      <c r="G29" s="22" t="s">
        <v>243</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Pivot_Backend</vt:lpstr>
      <vt:lpstr>SLA_Analysis_Dashboard_Source</vt:lpstr>
      <vt:lpstr>Agent_KPI</vt:lpstr>
      <vt:lpstr>SLA_Breach_Analysis_Dashboard</vt:lpstr>
      <vt:lpstr>Agent_Performance_Dashboard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adhithya</dc:creator>
  <cp:lastModifiedBy>bharath adhithya</cp:lastModifiedBy>
  <dcterms:created xsi:type="dcterms:W3CDTF">2026-02-08T05:44:00Z</dcterms:created>
  <dcterms:modified xsi:type="dcterms:W3CDTF">2026-02-09T16:56:02Z</dcterms:modified>
</cp:coreProperties>
</file>